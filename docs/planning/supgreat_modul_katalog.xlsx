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re Box" sheetId="2" state="visible" r:id="rId4"/>
    <sheet name="Module Monatsrationen" sheetId="3" state="visible" r:id="rId5"/>
    <sheet name="Einzelsupplements" sheetId="4" state="visible" r:id="rId6"/>
    <sheet name="Core Box Preise" sheetId="5" state="visible" r:id="rId7"/>
    <sheet name="Beispiel Kundi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<sst xmlns="http://schemas.openxmlformats.org/spreadsheetml/2006/main" count="545" uniqueCount="287">
  <si>
    <t xml:space="preserve">SUPGREAT – Modul-Katalog v1.0</t>
  </si>
  <si>
    <t xml:space="preserve">Struktur</t>
  </si>
  <si>
    <t xml:space="preserve">• Core Box – fix, 22 Wirkstoffe in 4 Tagespacks, als Einmalkauf oder Abo</t>
  </si>
  <si>
    <t xml:space="preserve">• Module – Monatsrationen einzelner Wirkstoffe, nur via Konfigurator + Blutbild</t>
  </si>
  <si>
    <t xml:space="preserve">• Einzelsupplements – 100er Dosen, standalone im Shop</t>
  </si>
  <si>
    <t xml:space="preserve">Konventionen</t>
  </si>
  <si>
    <t xml:space="preserve">• SKU-Präfix MOD- = Modul-Monatsration (Shopify Tag 'hidden-module')</t>
  </si>
  <si>
    <t xml:space="preserve">• SKU-Präfix SUP- = Einzelsupplement (Standalone)</t>
  </si>
  <si>
    <t xml:space="preserve">• Preis EK = Einkauf netto (Herstellerangebot abwarten)</t>
  </si>
  <si>
    <t xml:space="preserve">• Preis VK = Verkauf inkl. MwSt.</t>
  </si>
  <si>
    <t xml:space="preserve">• Blaue Zellen = manuell editierbare Inputs</t>
  </si>
  <si>
    <t xml:space="preserve">Nächste Schritte</t>
  </si>
  <si>
    <t xml:space="preserve">1. EK-Preise vom Hersteller einholen → in Spalte 'Preis EK' eintragen</t>
  </si>
  <si>
    <t xml:space="preserve">2. VK-Preise final festlegen → Margen prüfen</t>
  </si>
  <si>
    <t xml:space="preserve">3. SKUs in Shopify anlegen (Module als hidden, Einzelsupplements sichtbar)</t>
  </si>
  <si>
    <t xml:space="preserve">4. Variant-IDs aus Shopify in Konfigurator-Mapping übertragen</t>
  </si>
  <si>
    <t xml:space="preserve">5. Empfehlungslogik definieren (Blutwerte + Symptome → Modul-Auswahl)</t>
  </si>
  <si>
    <t xml:space="preserve">Sheets</t>
  </si>
  <si>
    <t xml:space="preserve">• Core Box – alle 22 Wirkstoffe der fixen Box (4 Episoden)</t>
  </si>
  <si>
    <t xml:space="preserve">• Module Monatsrationen – alle Add-on-Module mit SKU + Preis + Marge</t>
  </si>
  <si>
    <t xml:space="preserve">• Einzelsupplements – Standalone-Produkte (100er Dosen)</t>
  </si>
  <si>
    <t xml:space="preserve">• Core Box Preise – Kalkulation Box-Preis + Marge</t>
  </si>
  <si>
    <t xml:space="preserve">• Beispiel Kundin – Cart-Zusammensetzung einer Beispiel-Konfiguration</t>
  </si>
  <si>
    <t xml:space="preserve">Episode</t>
  </si>
  <si>
    <t xml:space="preserve">Tageszeit</t>
  </si>
  <si>
    <t xml:space="preserve">Wirkstoff</t>
  </si>
  <si>
    <t xml:space="preserve">Dosierung</t>
  </si>
  <si>
    <t xml:space="preserve">Form</t>
  </si>
  <si>
    <t xml:space="preserve">Ziel</t>
  </si>
  <si>
    <t xml:space="preserve">1</t>
  </si>
  <si>
    <t xml:space="preserve">Morning – Activation</t>
  </si>
  <si>
    <t xml:space="preserve">Creatine Monohydrate</t>
  </si>
  <si>
    <t xml:space="preserve">2 g</t>
  </si>
  <si>
    <t xml:space="preserve">Tablette</t>
  </si>
  <si>
    <t xml:space="preserve">Zellenergie</t>
  </si>
  <si>
    <t xml:space="preserve">NR oder NMN</t>
  </si>
  <si>
    <t xml:space="preserve">300 mg</t>
  </si>
  <si>
    <t xml:space="preserve">Kapsel</t>
  </si>
  <si>
    <t xml:space="preserve">Urolithin A</t>
  </si>
  <si>
    <t xml:space="preserve">250 mg</t>
  </si>
  <si>
    <t xml:space="preserve">Mitochondrien</t>
  </si>
  <si>
    <t xml:space="preserve">CoQ10 (Ubiquinol)</t>
  </si>
  <si>
    <t xml:space="preserve">100 mg</t>
  </si>
  <si>
    <t xml:space="preserve">Rhodiola Rosea Extrakt</t>
  </si>
  <si>
    <t xml:space="preserve">200 mg</t>
  </si>
  <si>
    <t xml:space="preserve">Mentale Aktivierung</t>
  </si>
  <si>
    <t xml:space="preserve">Aktiver B-Komplex</t>
  </si>
  <si>
    <t xml:space="preserve">Standard</t>
  </si>
  <si>
    <t xml:space="preserve">Stoffwechselstart</t>
  </si>
  <si>
    <t xml:space="preserve">Vitamin D3</t>
  </si>
  <si>
    <t xml:space="preserve">3000 IU</t>
  </si>
  <si>
    <t xml:space="preserve">Immunsystem</t>
  </si>
  <si>
    <t xml:space="preserve">Vitamin K2</t>
  </si>
  <si>
    <t xml:space="preserve">100 µg</t>
  </si>
  <si>
    <t xml:space="preserve">Knochen/Gefäße</t>
  </si>
  <si>
    <t xml:space="preserve">2</t>
  </si>
  <si>
    <t xml:space="preserve">Midday – Focus</t>
  </si>
  <si>
    <t xml:space="preserve">Lion's Mane Extrakt</t>
  </si>
  <si>
    <t xml:space="preserve">500 mg</t>
  </si>
  <si>
    <t xml:space="preserve">Fokus</t>
  </si>
  <si>
    <t xml:space="preserve">L-Theanin</t>
  </si>
  <si>
    <t xml:space="preserve">Stressresistenz</t>
  </si>
  <si>
    <t xml:space="preserve">Curcumin (bioverfügbar)</t>
  </si>
  <si>
    <t xml:space="preserve">Entzündungshemmung</t>
  </si>
  <si>
    <t xml:space="preserve">3</t>
  </si>
  <si>
    <t xml:space="preserve">Afternoon – Sustain</t>
  </si>
  <si>
    <t xml:space="preserve">Berberine HCL</t>
  </si>
  <si>
    <t xml:space="preserve">Metabolische Kontrolle</t>
  </si>
  <si>
    <t xml:space="preserve">Quercetin</t>
  </si>
  <si>
    <t xml:space="preserve">250-500 mg</t>
  </si>
  <si>
    <t xml:space="preserve">Antioxidans</t>
  </si>
  <si>
    <t xml:space="preserve">PQQ</t>
  </si>
  <si>
    <t xml:space="preserve">10-20 mg</t>
  </si>
  <si>
    <t xml:space="preserve">4</t>
  </si>
  <si>
    <t xml:space="preserve">Night – Recovery</t>
  </si>
  <si>
    <t xml:space="preserve">Magnesium Bisglycinat</t>
  </si>
  <si>
    <t xml:space="preserve">200 mg elementar</t>
  </si>
  <si>
    <t xml:space="preserve">Nervensystem</t>
  </si>
  <si>
    <t xml:space="preserve">Ashwagandha KSM-66</t>
  </si>
  <si>
    <t xml:space="preserve">Regeneration</t>
  </si>
  <si>
    <t xml:space="preserve">Apigenin</t>
  </si>
  <si>
    <t xml:space="preserve">50 mg</t>
  </si>
  <si>
    <t xml:space="preserve">Schlaf</t>
  </si>
  <si>
    <t xml:space="preserve">Spermidine</t>
  </si>
  <si>
    <t xml:space="preserve">3 mg</t>
  </si>
  <si>
    <t xml:space="preserve">Longevity</t>
  </si>
  <si>
    <t xml:space="preserve">Probiotic Blend</t>
  </si>
  <si>
    <t xml:space="preserve">10-20 Mrd CFU</t>
  </si>
  <si>
    <t xml:space="preserve">Darmgesundheit</t>
  </si>
  <si>
    <t xml:space="preserve">MSM</t>
  </si>
  <si>
    <t xml:space="preserve">1000 mg</t>
  </si>
  <si>
    <t xml:space="preserve">Gelenke/Haut</t>
  </si>
  <si>
    <t xml:space="preserve">SKU</t>
  </si>
  <si>
    <t xml:space="preserve">Modul</t>
  </si>
  <si>
    <t xml:space="preserve">Supplement</t>
  </si>
  <si>
    <t xml:space="preserve">Dosierung/Tag</t>
  </si>
  <si>
    <t xml:space="preserve">Kapseln/Monat</t>
  </si>
  <si>
    <t xml:space="preserve">Preis EK (€)</t>
  </si>
  <si>
    <t xml:space="preserve">Preis VK (€)</t>
  </si>
  <si>
    <t xml:space="preserve">Marge (€)</t>
  </si>
  <si>
    <t xml:space="preserve">Marge (%)</t>
  </si>
  <si>
    <t xml:space="preserve">Shopify Tag</t>
  </si>
  <si>
    <t xml:space="preserve">Status</t>
  </si>
  <si>
    <t xml:space="preserve">MOD-MAG-30D</t>
  </si>
  <si>
    <t xml:space="preserve">PMS</t>
  </si>
  <si>
    <t xml:space="preserve">hidden-module</t>
  </si>
  <si>
    <t xml:space="preserve">zu prüfen</t>
  </si>
  <si>
    <t xml:space="preserve">MOD-B6-30D</t>
  </si>
  <si>
    <t xml:space="preserve">Vitamin B6 (P5P)</t>
  </si>
  <si>
    <t xml:space="preserve">25 mg</t>
  </si>
  <si>
    <t xml:space="preserve">MOD-GLY-30D</t>
  </si>
  <si>
    <t xml:space="preserve">Glycin</t>
  </si>
  <si>
    <t xml:space="preserve">3 g</t>
  </si>
  <si>
    <t xml:space="preserve">MOD-CHR-30D</t>
  </si>
  <si>
    <t xml:space="preserve">Cravings</t>
  </si>
  <si>
    <t xml:space="preserve">Chromium Picolinate</t>
  </si>
  <si>
    <t xml:space="preserve">200 µg</t>
  </si>
  <si>
    <t xml:space="preserve">MOD-BER-30D</t>
  </si>
  <si>
    <t xml:space="preserve">Cravings / Metabolic</t>
  </si>
  <si>
    <t xml:space="preserve">MOD-INO-30D</t>
  </si>
  <si>
    <t xml:space="preserve">Cravings / Fertility</t>
  </si>
  <si>
    <t xml:space="preserve">Myo-Inositol</t>
  </si>
  <si>
    <t xml:space="preserve">MOD-ALA-30D</t>
  </si>
  <si>
    <t xml:space="preserve">Alpha-Liponsäure</t>
  </si>
  <si>
    <t xml:space="preserve">MOD-ASH-30D</t>
  </si>
  <si>
    <t xml:space="preserve">Stress</t>
  </si>
  <si>
    <t xml:space="preserve">MOD-RHO-30D</t>
  </si>
  <si>
    <t xml:space="preserve">Stress / Energy</t>
  </si>
  <si>
    <t xml:space="preserve">Rhodiola Rosea</t>
  </si>
  <si>
    <t xml:space="preserve">MOD-THE-30D</t>
  </si>
  <si>
    <t xml:space="preserve">Stress / Focus</t>
  </si>
  <si>
    <t xml:space="preserve">MOD-FER-30D</t>
  </si>
  <si>
    <t xml:space="preserve">Starker Zyklus</t>
  </si>
  <si>
    <t xml:space="preserve">Eisen Bisglycinat</t>
  </si>
  <si>
    <t xml:space="preserve">20 mg</t>
  </si>
  <si>
    <t xml:space="preserve">MOD-B12-30D</t>
  </si>
  <si>
    <t xml:space="preserve">Vitamin B12 (Methyl)</t>
  </si>
  <si>
    <t xml:space="preserve">500 µg</t>
  </si>
  <si>
    <t xml:space="preserve">MOD-FOL-30D</t>
  </si>
  <si>
    <t xml:space="preserve">Starker Zyklus / Fertility</t>
  </si>
  <si>
    <t xml:space="preserve">Folat (5-MTHF)</t>
  </si>
  <si>
    <t xml:space="preserve">400 µg</t>
  </si>
  <si>
    <t xml:space="preserve">MOD-VC-30D</t>
  </si>
  <si>
    <t xml:space="preserve">Vitamin C (gepuffert)</t>
  </si>
  <si>
    <t xml:space="preserve">MOD-COL-30D</t>
  </si>
  <si>
    <t xml:space="preserve">Beauty</t>
  </si>
  <si>
    <t xml:space="preserve">Marine Collagen</t>
  </si>
  <si>
    <t xml:space="preserve">5 g</t>
  </si>
  <si>
    <t xml:space="preserve">MOD-HYA-30D</t>
  </si>
  <si>
    <t xml:space="preserve">Hyaluronsäure</t>
  </si>
  <si>
    <t xml:space="preserve">120 mg</t>
  </si>
  <si>
    <t xml:space="preserve">MOD-SIL-30D</t>
  </si>
  <si>
    <t xml:space="preserve">Beauty / Hair</t>
  </si>
  <si>
    <t xml:space="preserve">Silica (Kieselsäure)</t>
  </si>
  <si>
    <t xml:space="preserve">MOD-ZIN-30D</t>
  </si>
  <si>
    <t xml:space="preserve">Beauty / Hair / Hormone</t>
  </si>
  <si>
    <t xml:space="preserve">Zink Bisglycinat</t>
  </si>
  <si>
    <t xml:space="preserve">15 mg</t>
  </si>
  <si>
    <t xml:space="preserve">MOD-AST-30D</t>
  </si>
  <si>
    <t xml:space="preserve">Astaxanthin</t>
  </si>
  <si>
    <t xml:space="preserve">12 mg</t>
  </si>
  <si>
    <t xml:space="preserve">MOD-BIO-30D</t>
  </si>
  <si>
    <t xml:space="preserve">Hair</t>
  </si>
  <si>
    <t xml:space="preserve">Biotin</t>
  </si>
  <si>
    <t xml:space="preserve">5 mg</t>
  </si>
  <si>
    <t xml:space="preserve">MOD-SEL-30D</t>
  </si>
  <si>
    <t xml:space="preserve">Selen</t>
  </si>
  <si>
    <t xml:space="preserve">MOD-CYS-30D</t>
  </si>
  <si>
    <t xml:space="preserve">L-Cystein</t>
  </si>
  <si>
    <t xml:space="preserve">MOD-MSM-30D</t>
  </si>
  <si>
    <t xml:space="preserve">Hair / Joints</t>
  </si>
  <si>
    <t xml:space="preserve">MOD-PRO-30D</t>
  </si>
  <si>
    <t xml:space="preserve">Darm</t>
  </si>
  <si>
    <t xml:space="preserve">Probiotika Blend (10 Mrd CFU)</t>
  </si>
  <si>
    <t xml:space="preserve">10 Mrd</t>
  </si>
  <si>
    <t xml:space="preserve">MOD-INU-30D</t>
  </si>
  <si>
    <t xml:space="preserve">Inulin (Prebiotic)</t>
  </si>
  <si>
    <t xml:space="preserve">MOD-COQ-30D</t>
  </si>
  <si>
    <t xml:space="preserve">Energy</t>
  </si>
  <si>
    <t xml:space="preserve">CoQ10 Ubiquinol</t>
  </si>
  <si>
    <t xml:space="preserve">MOD-BCO-30D</t>
  </si>
  <si>
    <t xml:space="preserve">B-Komplex aktiv</t>
  </si>
  <si>
    <t xml:space="preserve">MOD-DCI-30D</t>
  </si>
  <si>
    <t xml:space="preserve">Fertility</t>
  </si>
  <si>
    <t xml:space="preserve">D-Chiro-Inositol</t>
  </si>
  <si>
    <t xml:space="preserve">600 mg</t>
  </si>
  <si>
    <t xml:space="preserve">MOD-OM3-30D</t>
  </si>
  <si>
    <t xml:space="preserve">Fertility / Brain</t>
  </si>
  <si>
    <t xml:space="preserve">Omega-3 (EPA/DHA)</t>
  </si>
  <si>
    <t xml:space="preserve">MOD-BLC-30D</t>
  </si>
  <si>
    <t xml:space="preserve">Menopause</t>
  </si>
  <si>
    <t xml:space="preserve">Black Cohosh Extrakt</t>
  </si>
  <si>
    <t xml:space="preserve">40 mg</t>
  </si>
  <si>
    <t xml:space="preserve">MOD-SAG-30D</t>
  </si>
  <si>
    <t xml:space="preserve">Sage Extract (Salbei)</t>
  </si>
  <si>
    <t xml:space="preserve">MOD-ISO-30D</t>
  </si>
  <si>
    <t xml:space="preserve">Isoflavone (Soja/Rotklee)</t>
  </si>
  <si>
    <t xml:space="preserve">MOD-CAL-30D</t>
  </si>
  <si>
    <t xml:space="preserve">Bone Health</t>
  </si>
  <si>
    <t xml:space="preserve">Calcium (Citrat)</t>
  </si>
  <si>
    <t xml:space="preserve">MOD-BOR-30D</t>
  </si>
  <si>
    <t xml:space="preserve">Boron</t>
  </si>
  <si>
    <t xml:space="preserve">MOD-VD-30D</t>
  </si>
  <si>
    <t xml:space="preserve">Vitamin D3 + K2</t>
  </si>
  <si>
    <t xml:space="preserve">5000 IU / 100 µg</t>
  </si>
  <si>
    <t xml:space="preserve">MOD-CDP-30D</t>
  </si>
  <si>
    <t xml:space="preserve">Brain</t>
  </si>
  <si>
    <t xml:space="preserve">CDP-Choline (Citicolin)</t>
  </si>
  <si>
    <t xml:space="preserve">MOD-BAC-30D</t>
  </si>
  <si>
    <t xml:space="preserve">Bacopa Monnieri</t>
  </si>
  <si>
    <t xml:space="preserve">MOD-LIM-30D</t>
  </si>
  <si>
    <t xml:space="preserve">MOD-VIT-30D</t>
  </si>
  <si>
    <t xml:space="preserve">Hormone Balance</t>
  </si>
  <si>
    <t xml:space="preserve">Vitex Agnus Castus</t>
  </si>
  <si>
    <t xml:space="preserve">400 mg</t>
  </si>
  <si>
    <t xml:space="preserve">MOD-SPE-30D</t>
  </si>
  <si>
    <t xml:space="preserve">MOD-URO-30D</t>
  </si>
  <si>
    <t xml:space="preserve">MOD-NMN-30D</t>
  </si>
  <si>
    <t xml:space="preserve">NMN</t>
  </si>
  <si>
    <t xml:space="preserve">MOD-PQQ-30D</t>
  </si>
  <si>
    <t xml:space="preserve">Produktname</t>
  </si>
  <si>
    <t xml:space="preserve">Kapseln pro Dose</t>
  </si>
  <si>
    <t xml:space="preserve">Dosierung/Kapsel</t>
  </si>
  <si>
    <t xml:space="preserve">Collection</t>
  </si>
  <si>
    <t xml:space="preserve">SUP-MAG-100</t>
  </si>
  <si>
    <t xml:space="preserve">Magnesium Bisglycinat 100 Kapseln</t>
  </si>
  <si>
    <t xml:space="preserve">supplements</t>
  </si>
  <si>
    <t xml:space="preserve">SUP-IRON-100</t>
  </si>
  <si>
    <t xml:space="preserve">Eisen Bisglycinat 100 Kapseln</t>
  </si>
  <si>
    <t xml:space="preserve">SUP-ASH-100</t>
  </si>
  <si>
    <t xml:space="preserve">Ashwagandha KSM-66 100 Kapseln</t>
  </si>
  <si>
    <t xml:space="preserve">SUP-COQ-100</t>
  </si>
  <si>
    <t xml:space="preserve">CoQ10 Ubiquinol 100 Kapseln</t>
  </si>
  <si>
    <t xml:space="preserve">SUP-OM3-120</t>
  </si>
  <si>
    <t xml:space="preserve">Omega-3 (EPA/DHA) 120 Kapseln</t>
  </si>
  <si>
    <t xml:space="preserve">1 g</t>
  </si>
  <si>
    <t xml:space="preserve">SUP-VD-100</t>
  </si>
  <si>
    <t xml:space="preserve">Vitamin D3+K2 100 Kapseln</t>
  </si>
  <si>
    <t xml:space="preserve">SUP-COL-200</t>
  </si>
  <si>
    <t xml:space="preserve">Marine Collagen 200 g Pulver</t>
  </si>
  <si>
    <t xml:space="preserve">5 g Portion</t>
  </si>
  <si>
    <t xml:space="preserve">SUP-PRO-60</t>
  </si>
  <si>
    <t xml:space="preserve">Probiotika Blend 60 Kapseln</t>
  </si>
  <si>
    <t xml:space="preserve">10 Mrd CFU</t>
  </si>
  <si>
    <t xml:space="preserve">SUP-BER-90</t>
  </si>
  <si>
    <t xml:space="preserve">Berberine HCL 90 Kapseln</t>
  </si>
  <si>
    <t xml:space="preserve">SUP-BCO-100</t>
  </si>
  <si>
    <t xml:space="preserve">B-Komplex aktiv 100 Kapseln</t>
  </si>
  <si>
    <t xml:space="preserve">SUP-ZIN-100</t>
  </si>
  <si>
    <t xml:space="preserve">Zink Bisglycinat 100 Kapseln</t>
  </si>
  <si>
    <t xml:space="preserve">SUP-CRE-120</t>
  </si>
  <si>
    <t xml:space="preserve">Creatine Monohydrate 120 Tabletten</t>
  </si>
  <si>
    <t xml:space="preserve">Position</t>
  </si>
  <si>
    <t xml:space="preserve">Wert</t>
  </si>
  <si>
    <t xml:space="preserve">Kommentar</t>
  </si>
  <si>
    <t xml:space="preserve">Wirkstoffkosten pro Monat (EK)</t>
  </si>
  <si>
    <t xml:space="preserve">Schätzung: 22 Wirkstoffe × Ø 1,10 € – Herstellerangebot abwarten</t>
  </si>
  <si>
    <t xml:space="preserve">Verpackung + Portionierung</t>
  </si>
  <si>
    <t xml:space="preserve">4 Tagespacks × 30 Tage</t>
  </si>
  <si>
    <t xml:space="preserve">Fulfillment + Versand</t>
  </si>
  <si>
    <t xml:space="preserve">DE-Versand</t>
  </si>
  <si>
    <t xml:space="preserve">Sonstige Kosten (Retoure, Payment, App)</t>
  </si>
  <si>
    <t xml:space="preserve">Gesamtkosten pro Box</t>
  </si>
  <si>
    <t xml:space="preserve">Summe</t>
  </si>
  <si>
    <t xml:space="preserve">VK einmalig</t>
  </si>
  <si>
    <t xml:space="preserve">Blauer Text = anpassbarer Input</t>
  </si>
  <si>
    <t xml:space="preserve">VK Abo (−10%)</t>
  </si>
  <si>
    <t xml:space="preserve">Formel</t>
  </si>
  <si>
    <t xml:space="preserve">Marge einmalig (€)</t>
  </si>
  <si>
    <t xml:space="preserve">VK − Kosten</t>
  </si>
  <si>
    <t xml:space="preserve">Marge Abo (€)</t>
  </si>
  <si>
    <t xml:space="preserve">Marge einmalig (%)</t>
  </si>
  <si>
    <t xml:space="preserve">Marge Abo (%)</t>
  </si>
  <si>
    <t xml:space="preserve">Beispiel: Frau, 34, PMS + Stress + Haarausfall</t>
  </si>
  <si>
    <t xml:space="preserve">Einzelpreis (€)</t>
  </si>
  <si>
    <t xml:space="preserve">Menge</t>
  </si>
  <si>
    <t xml:space="preserve">Summe (€)</t>
  </si>
  <si>
    <t xml:space="preserve">Core Box Abo</t>
  </si>
  <si>
    <t xml:space="preserve">COREBOX-ABO</t>
  </si>
  <si>
    <t xml:space="preserve">Magnesium Monatsration (PMS)</t>
  </si>
  <si>
    <t xml:space="preserve">Vitamin B6 Monatsration (PMS)</t>
  </si>
  <si>
    <t xml:space="preserve">Ashwagandha Monatsration (Stress)</t>
  </si>
  <si>
    <t xml:space="preserve">Rhodiola Monatsration (Stress)</t>
  </si>
  <si>
    <t xml:space="preserve">Biotin Monatsration (Hair)</t>
  </si>
  <si>
    <t xml:space="preserve">Zink Monatsration (Hair)</t>
  </si>
  <si>
    <t xml:space="preserve">Silica Monatsration (Hair)</t>
  </si>
  <si>
    <t xml:space="preserve">Gesamt: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</si>
</sst>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</row>
    <row r="2" customFormat="false" ht="15" hidden="false" customHeight="false" outlineLevel="0" collapsed="false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</row>
    <row r="3" customFormat="false" ht="15" hidden="false" customHeight="false" outlineLevel="0" collapsed="false">
      <c r="A3" s="0" t="s">
        <v>29</v>
      </c>
      <c r="B3" s="0" t="s">
        <v>30</v>
      </c>
      <c r="C3" s="0" t="s">
        <v>35</v>
      </c>
      <c r="D3" s="0" t="s">
        <v>36</v>
      </c>
      <c r="E3" s="0" t="s">
        <v>37</v>
      </c>
      <c r="F3" s="0" t="s">
        <v>34</v>
      </c>
    </row>
    <row r="4" customFormat="false" ht="15" hidden="false" customHeight="false" outlineLevel="0" collapsed="false">
      <c r="A4" s="0" t="s">
        <v>29</v>
      </c>
      <c r="B4" s="0" t="s">
        <v>30</v>
      </c>
      <c r="C4" s="0" t="s">
        <v>38</v>
      </c>
      <c r="D4" s="0" t="s">
        <v>39</v>
      </c>
      <c r="E4" s="0" t="s">
        <v>37</v>
      </c>
      <c r="F4" s="0" t="s">
        <v>40</v>
      </c>
    </row>
    <row r="5" customFormat="false" ht="15" hidden="false" customHeight="false" outlineLevel="0" collapsed="false">
      <c r="A5" s="0" t="s">
        <v>29</v>
      </c>
      <c r="B5" s="0" t="s">
        <v>30</v>
      </c>
      <c r="C5" s="0" t="s">
        <v>41</v>
      </c>
      <c r="D5" s="0" t="s">
        <v>42</v>
      </c>
      <c r="E5" s="0" t="s">
        <v>37</v>
      </c>
      <c r="F5" s="0" t="s">
        <v>34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s">
        <v>43</v>
      </c>
      <c r="D6" s="0" t="s">
        <v>44</v>
      </c>
      <c r="E6" s="0" t="s">
        <v>37</v>
      </c>
      <c r="F6" s="0" t="s">
        <v>45</v>
      </c>
    </row>
    <row r="7" customFormat="false" ht="15" hidden="false" customHeight="false" outlineLevel="0" collapsed="false">
      <c r="A7" s="0" t="s">
        <v>29</v>
      </c>
      <c r="B7" s="0" t="s">
        <v>30</v>
      </c>
      <c r="C7" s="0" t="s">
        <v>46</v>
      </c>
      <c r="D7" s="0" t="s">
        <v>47</v>
      </c>
      <c r="E7" s="0" t="s">
        <v>37</v>
      </c>
      <c r="F7" s="0" t="s">
        <v>48</v>
      </c>
    </row>
    <row r="8" customFormat="false" ht="15" hidden="false" customHeight="false" outlineLevel="0" collapsed="false">
      <c r="A8" s="0" t="s">
        <v>29</v>
      </c>
      <c r="B8" s="0" t="s">
        <v>30</v>
      </c>
      <c r="C8" s="0" t="s">
        <v>49</v>
      </c>
      <c r="D8" s="0" t="s">
        <v>50</v>
      </c>
      <c r="E8" s="0" t="s">
        <v>37</v>
      </c>
      <c r="F8" s="0" t="s">
        <v>51</v>
      </c>
    </row>
    <row r="9" customFormat="false" ht="15" hidden="false" customHeight="false" outlineLevel="0" collapsed="false">
      <c r="A9" s="0" t="s">
        <v>29</v>
      </c>
      <c r="B9" s="0" t="s">
        <v>30</v>
      </c>
      <c r="C9" s="0" t="s">
        <v>52</v>
      </c>
      <c r="D9" s="0" t="s">
        <v>53</v>
      </c>
      <c r="E9" s="0" t="s">
        <v>37</v>
      </c>
      <c r="F9" s="0" t="s">
        <v>54</v>
      </c>
    </row>
    <row r="10" customFormat="false" ht="15" hidden="false" customHeight="false" outlineLevel="0" collapsed="false">
      <c r="A10" s="0" t="s">
        <v>55</v>
      </c>
      <c r="B10" s="0" t="s">
        <v>56</v>
      </c>
      <c r="C10" s="0" t="s">
        <v>31</v>
      </c>
      <c r="D10" s="0" t="s">
        <v>32</v>
      </c>
      <c r="E10" s="0" t="s">
        <v>33</v>
      </c>
      <c r="F10" s="0" t="s">
        <v>34</v>
      </c>
    </row>
    <row r="11" customFormat="false" ht="15" hidden="false" customHeight="false" outlineLevel="0" collapsed="false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37</v>
      </c>
      <c r="F11" s="0" t="s">
        <v>59</v>
      </c>
    </row>
    <row r="12" customFormat="false" ht="15" hidden="false" customHeight="false" outlineLevel="0" collapsed="false">
      <c r="A12" s="0" t="s">
        <v>55</v>
      </c>
      <c r="B12" s="0" t="s">
        <v>56</v>
      </c>
      <c r="C12" s="0" t="s">
        <v>60</v>
      </c>
      <c r="D12" s="0" t="s">
        <v>44</v>
      </c>
      <c r="E12" s="0" t="s">
        <v>37</v>
      </c>
      <c r="F12" s="0" t="s">
        <v>61</v>
      </c>
    </row>
    <row r="13" customFormat="false" ht="15" hidden="false" customHeight="false" outlineLevel="0" collapsed="false">
      <c r="A13" s="0" t="s">
        <v>55</v>
      </c>
      <c r="B13" s="0" t="s">
        <v>56</v>
      </c>
      <c r="C13" s="0" t="s">
        <v>62</v>
      </c>
      <c r="D13" s="0" t="s">
        <v>58</v>
      </c>
      <c r="E13" s="0" t="s">
        <v>37</v>
      </c>
      <c r="F13" s="0" t="s">
        <v>63</v>
      </c>
    </row>
    <row r="14" customFormat="false" ht="15" hidden="false" customHeight="false" outlineLevel="0" collapsed="false">
      <c r="A14" s="0" t="s">
        <v>64</v>
      </c>
      <c r="B14" s="0" t="s">
        <v>65</v>
      </c>
      <c r="C14" s="0" t="s">
        <v>31</v>
      </c>
      <c r="D14" s="0" t="s">
        <v>32</v>
      </c>
      <c r="E14" s="0" t="s">
        <v>33</v>
      </c>
      <c r="F14" s="0" t="s">
        <v>34</v>
      </c>
    </row>
    <row r="15" customFormat="false" ht="15" hidden="false" customHeight="false" outlineLevel="0" collapsed="false">
      <c r="A15" s="0" t="s">
        <v>64</v>
      </c>
      <c r="B15" s="0" t="s">
        <v>65</v>
      </c>
      <c r="C15" s="0" t="s">
        <v>66</v>
      </c>
      <c r="D15" s="0" t="s">
        <v>58</v>
      </c>
      <c r="E15" s="0" t="s">
        <v>37</v>
      </c>
      <c r="F15" s="0" t="s">
        <v>67</v>
      </c>
    </row>
    <row r="16" customFormat="false" ht="15" hidden="false" customHeight="false" outlineLevel="0" collapsed="false">
      <c r="A16" s="0" t="s">
        <v>64</v>
      </c>
      <c r="B16" s="0" t="s">
        <v>65</v>
      </c>
      <c r="C16" s="0" t="s">
        <v>68</v>
      </c>
      <c r="D16" s="0" t="s">
        <v>69</v>
      </c>
      <c r="E16" s="0" t="s">
        <v>37</v>
      </c>
      <c r="F16" s="0" t="s">
        <v>70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0" t="s">
        <v>71</v>
      </c>
      <c r="D17" s="0" t="s">
        <v>72</v>
      </c>
      <c r="E17" s="0" t="s">
        <v>37</v>
      </c>
      <c r="F17" s="0" t="s">
        <v>40</v>
      </c>
    </row>
    <row r="18" customFormat="false" ht="15" hidden="false" customHeight="false" outlineLevel="0" collapsed="false">
      <c r="A18" s="0" t="s">
        <v>73</v>
      </c>
      <c r="B18" s="0" t="s">
        <v>74</v>
      </c>
      <c r="C18" s="0" t="s">
        <v>75</v>
      </c>
      <c r="D18" s="0" t="s">
        <v>76</v>
      </c>
      <c r="E18" s="0" t="s">
        <v>37</v>
      </c>
      <c r="F18" s="0" t="s">
        <v>77</v>
      </c>
    </row>
    <row r="19" customFormat="false" ht="15" hidden="false" customHeight="false" outlineLevel="0" collapsed="false">
      <c r="A19" s="0" t="s">
        <v>73</v>
      </c>
      <c r="B19" s="0" t="s">
        <v>74</v>
      </c>
      <c r="C19" s="0" t="s">
        <v>78</v>
      </c>
      <c r="D19" s="0" t="s">
        <v>36</v>
      </c>
      <c r="E19" s="0" t="s">
        <v>37</v>
      </c>
      <c r="F19" s="0" t="s">
        <v>79</v>
      </c>
    </row>
    <row r="20" customFormat="false" ht="15" hidden="false" customHeight="false" outlineLevel="0" collapsed="false">
      <c r="A20" s="0" t="s">
        <v>73</v>
      </c>
      <c r="B20" s="0" t="s">
        <v>74</v>
      </c>
      <c r="C20" s="0" t="s">
        <v>80</v>
      </c>
      <c r="D20" s="0" t="s">
        <v>81</v>
      </c>
      <c r="E20" s="0" t="s">
        <v>37</v>
      </c>
      <c r="F20" s="0" t="s">
        <v>82</v>
      </c>
    </row>
    <row r="21" customFormat="false" ht="15" hidden="false" customHeight="false" outlineLevel="0" collapsed="false">
      <c r="A21" s="0" t="s">
        <v>73</v>
      </c>
      <c r="B21" s="0" t="s">
        <v>74</v>
      </c>
      <c r="C21" s="0" t="s">
        <v>83</v>
      </c>
      <c r="D21" s="0" t="s">
        <v>84</v>
      </c>
      <c r="E21" s="0" t="s">
        <v>37</v>
      </c>
      <c r="F21" s="0" t="s">
        <v>85</v>
      </c>
    </row>
    <row r="22" customFormat="false" ht="15" hidden="false" customHeight="false" outlineLevel="0" collapsed="false">
      <c r="A22" s="0" t="s">
        <v>73</v>
      </c>
      <c r="B22" s="0" t="s">
        <v>74</v>
      </c>
      <c r="C22" s="0" t="s">
        <v>86</v>
      </c>
      <c r="D22" s="0" t="s">
        <v>87</v>
      </c>
      <c r="E22" s="0" t="s">
        <v>37</v>
      </c>
      <c r="F22" s="0" t="s">
        <v>88</v>
      </c>
    </row>
    <row r="23" customFormat="false" ht="15" hidden="false" customHeight="false" outlineLevel="0" collapsed="false">
      <c r="A23" s="0" t="s">
        <v>73</v>
      </c>
      <c r="B23" s="0" t="s">
        <v>74</v>
      </c>
      <c r="C23" s="0" t="s">
        <v>89</v>
      </c>
      <c r="D23" s="0" t="s">
        <v>90</v>
      </c>
      <c r="E23" s="0" t="s">
        <v>37</v>
      </c>
      <c r="F23" s="0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7" min="5" style="0" width="14"/>
    <col collapsed="false" customWidth="true" hidden="false" outlineLevel="0" max="9" min="8" style="0" width="12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4" t="s">
        <v>92</v>
      </c>
      <c r="B1" s="4" t="s">
        <v>93</v>
      </c>
      <c r="C1" s="4" t="s">
        <v>94</v>
      </c>
      <c r="D1" s="4" t="s">
        <v>95</v>
      </c>
      <c r="E1" s="4" t="s">
        <v>96</v>
      </c>
      <c r="F1" s="4" t="s">
        <v>97</v>
      </c>
      <c r="G1" s="4" t="s">
        <v>98</v>
      </c>
      <c r="H1" s="4" t="s">
        <v>99</v>
      </c>
      <c r="I1" s="4" t="s">
        <v>100</v>
      </c>
      <c r="J1" s="4" t="s">
        <v>101</v>
      </c>
      <c r="K1" s="4" t="s">
        <v>102</v>
      </c>
    </row>
    <row r="2" customFormat="false" ht="15" hidden="false" customHeight="false" outlineLevel="0" collapsed="false">
      <c r="A2" s="0" t="s">
        <v>103</v>
      </c>
      <c r="B2" s="0" t="s">
        <v>104</v>
      </c>
      <c r="C2" s="0" t="s">
        <v>75</v>
      </c>
      <c r="D2" s="0" t="s">
        <v>44</v>
      </c>
      <c r="E2" s="0" t="n">
        <v>30</v>
      </c>
      <c r="F2" s="5" t="n">
        <v>1.5</v>
      </c>
      <c r="G2" s="5" t="n">
        <v>5.9</v>
      </c>
      <c r="H2" s="6" t="n">
        <f aca="false">G2-F2</f>
        <v>4.4</v>
      </c>
      <c r="I2" s="7" t="n">
        <f aca="false">IFERROR((G2-F2)/G2,0)</f>
        <v>0.745762711864407</v>
      </c>
      <c r="J2" s="8" t="s">
        <v>105</v>
      </c>
      <c r="K2" s="8" t="s">
        <v>106</v>
      </c>
    </row>
    <row r="3" customFormat="false" ht="15" hidden="false" customHeight="false" outlineLevel="0" collapsed="false">
      <c r="A3" s="0" t="s">
        <v>107</v>
      </c>
      <c r="B3" s="0" t="s">
        <v>104</v>
      </c>
      <c r="C3" s="0" t="s">
        <v>108</v>
      </c>
      <c r="D3" s="0" t="s">
        <v>109</v>
      </c>
      <c r="E3" s="0" t="n">
        <v>30</v>
      </c>
      <c r="F3" s="5" t="n">
        <v>0.8</v>
      </c>
      <c r="G3" s="5" t="n">
        <v>3.9</v>
      </c>
      <c r="H3" s="6" t="n">
        <f aca="false">G3-F3</f>
        <v>3.1</v>
      </c>
      <c r="I3" s="7" t="n">
        <f aca="false">IFERROR((G3-F3)/G3,0)</f>
        <v>0.794871794871795</v>
      </c>
      <c r="J3" s="8" t="s">
        <v>105</v>
      </c>
      <c r="K3" s="8" t="s">
        <v>106</v>
      </c>
    </row>
    <row r="4" customFormat="false" ht="15" hidden="false" customHeight="false" outlineLevel="0" collapsed="false">
      <c r="A4" s="0" t="s">
        <v>110</v>
      </c>
      <c r="B4" s="0" t="s">
        <v>104</v>
      </c>
      <c r="C4" s="0" t="s">
        <v>111</v>
      </c>
      <c r="D4" s="0" t="s">
        <v>112</v>
      </c>
      <c r="E4" s="0" t="n">
        <v>60</v>
      </c>
      <c r="F4" s="5" t="n">
        <v>1.2</v>
      </c>
      <c r="G4" s="5" t="n">
        <v>4.9</v>
      </c>
      <c r="H4" s="6" t="n">
        <f aca="false">G4-F4</f>
        <v>3.7</v>
      </c>
      <c r="I4" s="7" t="n">
        <f aca="false">IFERROR((G4-F4)/G4,0)</f>
        <v>0.755102040816327</v>
      </c>
      <c r="J4" s="8" t="s">
        <v>105</v>
      </c>
      <c r="K4" s="8" t="s">
        <v>106</v>
      </c>
    </row>
    <row r="5" customFormat="false" ht="15" hidden="false" customHeight="false" outlineLevel="0" collapsed="false">
      <c r="A5" s="0" t="s">
        <v>113</v>
      </c>
      <c r="B5" s="0" t="s">
        <v>114</v>
      </c>
      <c r="C5" s="0" t="s">
        <v>115</v>
      </c>
      <c r="D5" s="0" t="s">
        <v>116</v>
      </c>
      <c r="E5" s="0" t="n">
        <v>30</v>
      </c>
      <c r="F5" s="5" t="n">
        <v>0.6</v>
      </c>
      <c r="G5" s="5" t="n">
        <v>3.5</v>
      </c>
      <c r="H5" s="6" t="n">
        <f aca="false">G5-F5</f>
        <v>2.9</v>
      </c>
      <c r="I5" s="7" t="n">
        <f aca="false">IFERROR((G5-F5)/G5,0)</f>
        <v>0.828571428571429</v>
      </c>
      <c r="J5" s="8" t="s">
        <v>105</v>
      </c>
      <c r="K5" s="8" t="s">
        <v>106</v>
      </c>
    </row>
    <row r="6" customFormat="false" ht="15" hidden="false" customHeight="false" outlineLevel="0" collapsed="false">
      <c r="A6" s="0" t="s">
        <v>117</v>
      </c>
      <c r="B6" s="0" t="s">
        <v>118</v>
      </c>
      <c r="C6" s="0" t="s">
        <v>66</v>
      </c>
      <c r="D6" s="0" t="s">
        <v>58</v>
      </c>
      <c r="E6" s="0" t="n">
        <v>60</v>
      </c>
      <c r="F6" s="5" t="n">
        <v>2.8</v>
      </c>
      <c r="G6" s="5" t="n">
        <v>8.9</v>
      </c>
      <c r="H6" s="6" t="n">
        <f aca="false">G6-F6</f>
        <v>6.1</v>
      </c>
      <c r="I6" s="7" t="n">
        <f aca="false">IFERROR((G6-F6)/G6,0)</f>
        <v>0.685393258426966</v>
      </c>
      <c r="J6" s="8" t="s">
        <v>105</v>
      </c>
      <c r="K6" s="8" t="s">
        <v>106</v>
      </c>
    </row>
    <row r="7" customFormat="false" ht="15" hidden="false" customHeight="false" outlineLevel="0" collapsed="false">
      <c r="A7" s="0" t="s">
        <v>119</v>
      </c>
      <c r="B7" s="0" t="s">
        <v>120</v>
      </c>
      <c r="C7" s="0" t="s">
        <v>121</v>
      </c>
      <c r="D7" s="0" t="s">
        <v>32</v>
      </c>
      <c r="E7" s="0" t="n">
        <v>60</v>
      </c>
      <c r="F7" s="5" t="n">
        <v>2.2</v>
      </c>
      <c r="G7" s="5" t="n">
        <v>6.9</v>
      </c>
      <c r="H7" s="6" t="n">
        <f aca="false">G7-F7</f>
        <v>4.7</v>
      </c>
      <c r="I7" s="7" t="n">
        <f aca="false">IFERROR((G7-F7)/G7,0)</f>
        <v>0.681159420289855</v>
      </c>
      <c r="J7" s="8" t="s">
        <v>105</v>
      </c>
      <c r="K7" s="8" t="s">
        <v>106</v>
      </c>
    </row>
    <row r="8" customFormat="false" ht="15" hidden="false" customHeight="false" outlineLevel="0" collapsed="false">
      <c r="A8" s="0" t="s">
        <v>122</v>
      </c>
      <c r="B8" s="0" t="s">
        <v>118</v>
      </c>
      <c r="C8" s="0" t="s">
        <v>123</v>
      </c>
      <c r="D8" s="0" t="s">
        <v>36</v>
      </c>
      <c r="E8" s="0" t="n">
        <v>30</v>
      </c>
      <c r="F8" s="5" t="n">
        <v>1.8</v>
      </c>
      <c r="G8" s="5" t="n">
        <v>5.9</v>
      </c>
      <c r="H8" s="6" t="n">
        <f aca="false">G8-F8</f>
        <v>4.1</v>
      </c>
      <c r="I8" s="7" t="n">
        <f aca="false">IFERROR((G8-F8)/G8,0)</f>
        <v>0.694915254237288</v>
      </c>
      <c r="J8" s="8" t="s">
        <v>105</v>
      </c>
      <c r="K8" s="8" t="s">
        <v>106</v>
      </c>
    </row>
    <row r="9" customFormat="false" ht="15" hidden="false" customHeight="false" outlineLevel="0" collapsed="false">
      <c r="A9" s="0" t="s">
        <v>124</v>
      </c>
      <c r="B9" s="0" t="s">
        <v>125</v>
      </c>
      <c r="C9" s="0" t="s">
        <v>78</v>
      </c>
      <c r="D9" s="0" t="s">
        <v>36</v>
      </c>
      <c r="E9" s="0" t="n">
        <v>30</v>
      </c>
      <c r="F9" s="5" t="n">
        <v>2</v>
      </c>
      <c r="G9" s="5" t="n">
        <v>6.9</v>
      </c>
      <c r="H9" s="6" t="n">
        <f aca="false">G9-F9</f>
        <v>4.9</v>
      </c>
      <c r="I9" s="7" t="n">
        <f aca="false">IFERROR((G9-F9)/G9,0)</f>
        <v>0.710144927536232</v>
      </c>
      <c r="J9" s="8" t="s">
        <v>105</v>
      </c>
      <c r="K9" s="8" t="s">
        <v>106</v>
      </c>
    </row>
    <row r="10" customFormat="false" ht="15" hidden="false" customHeight="false" outlineLevel="0" collapsed="false">
      <c r="A10" s="0" t="s">
        <v>126</v>
      </c>
      <c r="B10" s="0" t="s">
        <v>127</v>
      </c>
      <c r="C10" s="0" t="s">
        <v>128</v>
      </c>
      <c r="D10" s="0" t="s">
        <v>44</v>
      </c>
      <c r="E10" s="0" t="n">
        <v>30</v>
      </c>
      <c r="F10" s="5" t="n">
        <v>1.8</v>
      </c>
      <c r="G10" s="5" t="n">
        <v>5.9</v>
      </c>
      <c r="H10" s="6" t="n">
        <f aca="false">G10-F10</f>
        <v>4.1</v>
      </c>
      <c r="I10" s="7" t="n">
        <f aca="false">IFERROR((G10-F10)/G10,0)</f>
        <v>0.694915254237288</v>
      </c>
      <c r="J10" s="8" t="s">
        <v>105</v>
      </c>
      <c r="K10" s="8" t="s">
        <v>106</v>
      </c>
    </row>
    <row r="11" customFormat="false" ht="15" hidden="false" customHeight="false" outlineLevel="0" collapsed="false">
      <c r="A11" s="0" t="s">
        <v>129</v>
      </c>
      <c r="B11" s="0" t="s">
        <v>130</v>
      </c>
      <c r="C11" s="0" t="s">
        <v>60</v>
      </c>
      <c r="D11" s="0" t="s">
        <v>44</v>
      </c>
      <c r="E11" s="0" t="n">
        <v>30</v>
      </c>
      <c r="F11" s="5" t="n">
        <v>1.4</v>
      </c>
      <c r="G11" s="5" t="n">
        <v>4.9</v>
      </c>
      <c r="H11" s="6" t="n">
        <f aca="false">G11-F11</f>
        <v>3.5</v>
      </c>
      <c r="I11" s="7" t="n">
        <f aca="false">IFERROR((G11-F11)/G11,0)</f>
        <v>0.714285714285714</v>
      </c>
      <c r="J11" s="8" t="s">
        <v>105</v>
      </c>
      <c r="K11" s="8" t="s">
        <v>106</v>
      </c>
    </row>
    <row r="12" customFormat="false" ht="15" hidden="false" customHeight="false" outlineLevel="0" collapsed="false">
      <c r="A12" s="0" t="s">
        <v>131</v>
      </c>
      <c r="B12" s="0" t="s">
        <v>132</v>
      </c>
      <c r="C12" s="0" t="s">
        <v>133</v>
      </c>
      <c r="D12" s="0" t="s">
        <v>134</v>
      </c>
      <c r="E12" s="0" t="n">
        <v>30</v>
      </c>
      <c r="F12" s="5" t="n">
        <v>1.2</v>
      </c>
      <c r="G12" s="5" t="n">
        <v>4.9</v>
      </c>
      <c r="H12" s="6" t="n">
        <f aca="false">G12-F12</f>
        <v>3.7</v>
      </c>
      <c r="I12" s="7" t="n">
        <f aca="false">IFERROR((G12-F12)/G12,0)</f>
        <v>0.755102040816327</v>
      </c>
      <c r="J12" s="8" t="s">
        <v>105</v>
      </c>
      <c r="K12" s="8" t="s">
        <v>106</v>
      </c>
    </row>
    <row r="13" customFormat="false" ht="15" hidden="false" customHeight="false" outlineLevel="0" collapsed="false">
      <c r="A13" s="0" t="s">
        <v>135</v>
      </c>
      <c r="B13" s="0" t="s">
        <v>132</v>
      </c>
      <c r="C13" s="0" t="s">
        <v>136</v>
      </c>
      <c r="D13" s="0" t="s">
        <v>137</v>
      </c>
      <c r="E13" s="0" t="n">
        <v>30</v>
      </c>
      <c r="F13" s="5" t="n">
        <v>0.7</v>
      </c>
      <c r="G13" s="5" t="n">
        <v>3.5</v>
      </c>
      <c r="H13" s="6" t="n">
        <f aca="false">G13-F13</f>
        <v>2.8</v>
      </c>
      <c r="I13" s="7" t="n">
        <f aca="false">IFERROR((G13-F13)/G13,0)</f>
        <v>0.8</v>
      </c>
      <c r="J13" s="8" t="s">
        <v>105</v>
      </c>
      <c r="K13" s="8" t="s">
        <v>106</v>
      </c>
    </row>
    <row r="14" customFormat="false" ht="15" hidden="false" customHeight="false" outlineLevel="0" collapsed="false">
      <c r="A14" s="0" t="s">
        <v>138</v>
      </c>
      <c r="B14" s="0" t="s">
        <v>139</v>
      </c>
      <c r="C14" s="0" t="s">
        <v>140</v>
      </c>
      <c r="D14" s="0" t="s">
        <v>141</v>
      </c>
      <c r="E14" s="0" t="n">
        <v>30</v>
      </c>
      <c r="F14" s="5" t="n">
        <v>0.8</v>
      </c>
      <c r="G14" s="5" t="n">
        <v>3.9</v>
      </c>
      <c r="H14" s="6" t="n">
        <f aca="false">G14-F14</f>
        <v>3.1</v>
      </c>
      <c r="I14" s="7" t="n">
        <f aca="false">IFERROR((G14-F14)/G14,0)</f>
        <v>0.794871794871795</v>
      </c>
      <c r="J14" s="8" t="s">
        <v>105</v>
      </c>
      <c r="K14" s="8" t="s">
        <v>106</v>
      </c>
    </row>
    <row r="15" customFormat="false" ht="15" hidden="false" customHeight="false" outlineLevel="0" collapsed="false">
      <c r="A15" s="0" t="s">
        <v>142</v>
      </c>
      <c r="B15" s="0" t="s">
        <v>132</v>
      </c>
      <c r="C15" s="0" t="s">
        <v>143</v>
      </c>
      <c r="D15" s="0" t="s">
        <v>58</v>
      </c>
      <c r="E15" s="0" t="n">
        <v>30</v>
      </c>
      <c r="F15" s="5" t="n">
        <v>0.9</v>
      </c>
      <c r="G15" s="5" t="n">
        <v>3.9</v>
      </c>
      <c r="H15" s="6" t="n">
        <f aca="false">G15-F15</f>
        <v>3</v>
      </c>
      <c r="I15" s="7" t="n">
        <f aca="false">IFERROR((G15-F15)/G15,0)</f>
        <v>0.769230769230769</v>
      </c>
      <c r="J15" s="8" t="s">
        <v>105</v>
      </c>
      <c r="K15" s="8" t="s">
        <v>106</v>
      </c>
    </row>
    <row r="16" customFormat="false" ht="15" hidden="false" customHeight="false" outlineLevel="0" collapsed="false">
      <c r="A16" s="0" t="s">
        <v>144</v>
      </c>
      <c r="B16" s="0" t="s">
        <v>145</v>
      </c>
      <c r="C16" s="0" t="s">
        <v>146</v>
      </c>
      <c r="D16" s="0" t="s">
        <v>147</v>
      </c>
      <c r="E16" s="0" t="n">
        <v>60</v>
      </c>
      <c r="F16" s="5" t="n">
        <v>4.5</v>
      </c>
      <c r="G16" s="5" t="n">
        <v>12.9</v>
      </c>
      <c r="H16" s="6" t="n">
        <f aca="false">G16-F16</f>
        <v>8.4</v>
      </c>
      <c r="I16" s="7" t="n">
        <f aca="false">IFERROR((G16-F16)/G16,0)</f>
        <v>0.651162790697675</v>
      </c>
      <c r="J16" s="8" t="s">
        <v>105</v>
      </c>
      <c r="K16" s="8" t="s">
        <v>106</v>
      </c>
    </row>
    <row r="17" customFormat="false" ht="15" hidden="false" customHeight="false" outlineLevel="0" collapsed="false">
      <c r="A17" s="0" t="s">
        <v>148</v>
      </c>
      <c r="B17" s="0" t="s">
        <v>145</v>
      </c>
      <c r="C17" s="0" t="s">
        <v>149</v>
      </c>
      <c r="D17" s="0" t="s">
        <v>150</v>
      </c>
      <c r="E17" s="0" t="n">
        <v>30</v>
      </c>
      <c r="F17" s="5" t="n">
        <v>2.4</v>
      </c>
      <c r="G17" s="5" t="n">
        <v>7.9</v>
      </c>
      <c r="H17" s="6" t="n">
        <f aca="false">G17-F17</f>
        <v>5.5</v>
      </c>
      <c r="I17" s="7" t="n">
        <f aca="false">IFERROR((G17-F17)/G17,0)</f>
        <v>0.69620253164557</v>
      </c>
      <c r="J17" s="8" t="s">
        <v>105</v>
      </c>
      <c r="K17" s="8" t="s">
        <v>106</v>
      </c>
    </row>
    <row r="18" customFormat="false" ht="15" hidden="false" customHeight="false" outlineLevel="0" collapsed="false">
      <c r="A18" s="0" t="s">
        <v>151</v>
      </c>
      <c r="B18" s="0" t="s">
        <v>152</v>
      </c>
      <c r="C18" s="0" t="s">
        <v>153</v>
      </c>
      <c r="D18" s="0" t="s">
        <v>42</v>
      </c>
      <c r="E18" s="0" t="n">
        <v>30</v>
      </c>
      <c r="F18" s="5" t="n">
        <v>1.2</v>
      </c>
      <c r="G18" s="5" t="n">
        <v>4.9</v>
      </c>
      <c r="H18" s="6" t="n">
        <f aca="false">G18-F18</f>
        <v>3.7</v>
      </c>
      <c r="I18" s="7" t="n">
        <f aca="false">IFERROR((G18-F18)/G18,0)</f>
        <v>0.755102040816327</v>
      </c>
      <c r="J18" s="8" t="s">
        <v>105</v>
      </c>
      <c r="K18" s="8" t="s">
        <v>106</v>
      </c>
    </row>
    <row r="19" customFormat="false" ht="15" hidden="false" customHeight="false" outlineLevel="0" collapsed="false">
      <c r="A19" s="0" t="s">
        <v>154</v>
      </c>
      <c r="B19" s="0" t="s">
        <v>155</v>
      </c>
      <c r="C19" s="0" t="s">
        <v>156</v>
      </c>
      <c r="D19" s="0" t="s">
        <v>157</v>
      </c>
      <c r="E19" s="0" t="n">
        <v>30</v>
      </c>
      <c r="F19" s="5" t="n">
        <v>0.6</v>
      </c>
      <c r="G19" s="5" t="n">
        <v>3.5</v>
      </c>
      <c r="H19" s="6" t="n">
        <f aca="false">G19-F19</f>
        <v>2.9</v>
      </c>
      <c r="I19" s="7" t="n">
        <f aca="false">IFERROR((G19-F19)/G19,0)</f>
        <v>0.828571428571429</v>
      </c>
      <c r="J19" s="8" t="s">
        <v>105</v>
      </c>
      <c r="K19" s="8" t="s">
        <v>106</v>
      </c>
    </row>
    <row r="20" customFormat="false" ht="15" hidden="false" customHeight="false" outlineLevel="0" collapsed="false">
      <c r="A20" s="0" t="s">
        <v>158</v>
      </c>
      <c r="B20" s="0" t="s">
        <v>145</v>
      </c>
      <c r="C20" s="0" t="s">
        <v>159</v>
      </c>
      <c r="D20" s="0" t="s">
        <v>160</v>
      </c>
      <c r="E20" s="0" t="n">
        <v>30</v>
      </c>
      <c r="F20" s="5" t="n">
        <v>2.8</v>
      </c>
      <c r="G20" s="5" t="n">
        <v>8.9</v>
      </c>
      <c r="H20" s="6" t="n">
        <f aca="false">G20-F20</f>
        <v>6.1</v>
      </c>
      <c r="I20" s="7" t="n">
        <f aca="false">IFERROR((G20-F20)/G20,0)</f>
        <v>0.685393258426966</v>
      </c>
      <c r="J20" s="8" t="s">
        <v>105</v>
      </c>
      <c r="K20" s="8" t="s">
        <v>106</v>
      </c>
    </row>
    <row r="21" customFormat="false" ht="15" hidden="false" customHeight="false" outlineLevel="0" collapsed="false">
      <c r="A21" s="0" t="s">
        <v>161</v>
      </c>
      <c r="B21" s="0" t="s">
        <v>162</v>
      </c>
      <c r="C21" s="0" t="s">
        <v>163</v>
      </c>
      <c r="D21" s="0" t="s">
        <v>164</v>
      </c>
      <c r="E21" s="0" t="n">
        <v>30</v>
      </c>
      <c r="F21" s="5" t="n">
        <v>0.5</v>
      </c>
      <c r="G21" s="5" t="n">
        <v>2.9</v>
      </c>
      <c r="H21" s="6" t="n">
        <f aca="false">G21-F21</f>
        <v>2.4</v>
      </c>
      <c r="I21" s="7" t="n">
        <f aca="false">IFERROR((G21-F21)/G21,0)</f>
        <v>0.827586206896552</v>
      </c>
      <c r="J21" s="8" t="s">
        <v>105</v>
      </c>
      <c r="K21" s="8" t="s">
        <v>106</v>
      </c>
    </row>
    <row r="22" customFormat="false" ht="15" hidden="false" customHeight="false" outlineLevel="0" collapsed="false">
      <c r="A22" s="0" t="s">
        <v>165</v>
      </c>
      <c r="B22" s="0" t="s">
        <v>162</v>
      </c>
      <c r="C22" s="0" t="s">
        <v>166</v>
      </c>
      <c r="D22" s="0" t="s">
        <v>116</v>
      </c>
      <c r="E22" s="0" t="n">
        <v>30</v>
      </c>
      <c r="F22" s="5" t="n">
        <v>0.7</v>
      </c>
      <c r="G22" s="5" t="n">
        <v>3.5</v>
      </c>
      <c r="H22" s="6" t="n">
        <f aca="false">G22-F22</f>
        <v>2.8</v>
      </c>
      <c r="I22" s="7" t="n">
        <f aca="false">IFERROR((G22-F22)/G22,0)</f>
        <v>0.8</v>
      </c>
      <c r="J22" s="8" t="s">
        <v>105</v>
      </c>
      <c r="K22" s="8" t="s">
        <v>106</v>
      </c>
    </row>
    <row r="23" customFormat="false" ht="15" hidden="false" customHeight="false" outlineLevel="0" collapsed="false">
      <c r="A23" s="0" t="s">
        <v>167</v>
      </c>
      <c r="B23" s="0" t="s">
        <v>162</v>
      </c>
      <c r="C23" s="0" t="s">
        <v>168</v>
      </c>
      <c r="D23" s="0" t="s">
        <v>58</v>
      </c>
      <c r="E23" s="0" t="n">
        <v>60</v>
      </c>
      <c r="F23" s="5" t="n">
        <v>1.6</v>
      </c>
      <c r="G23" s="5" t="n">
        <v>5.9</v>
      </c>
      <c r="H23" s="6" t="n">
        <f aca="false">G23-F23</f>
        <v>4.3</v>
      </c>
      <c r="I23" s="7" t="n">
        <f aca="false">IFERROR((G23-F23)/G23,0)</f>
        <v>0.728813559322034</v>
      </c>
      <c r="J23" s="8" t="s">
        <v>105</v>
      </c>
      <c r="K23" s="8" t="s">
        <v>106</v>
      </c>
    </row>
    <row r="24" customFormat="false" ht="15" hidden="false" customHeight="false" outlineLevel="0" collapsed="false">
      <c r="A24" s="0" t="s">
        <v>169</v>
      </c>
      <c r="B24" s="0" t="s">
        <v>170</v>
      </c>
      <c r="C24" s="0" t="s">
        <v>89</v>
      </c>
      <c r="D24" s="0" t="s">
        <v>90</v>
      </c>
      <c r="E24" s="0" t="n">
        <v>30</v>
      </c>
      <c r="F24" s="5" t="n">
        <v>1</v>
      </c>
      <c r="G24" s="5" t="n">
        <v>4.5</v>
      </c>
      <c r="H24" s="6" t="n">
        <f aca="false">G24-F24</f>
        <v>3.5</v>
      </c>
      <c r="I24" s="7" t="n">
        <f aca="false">IFERROR((G24-F24)/G24,0)</f>
        <v>0.777777777777778</v>
      </c>
      <c r="J24" s="8" t="s">
        <v>105</v>
      </c>
      <c r="K24" s="8" t="s">
        <v>106</v>
      </c>
    </row>
    <row r="25" customFormat="false" ht="15" hidden="false" customHeight="false" outlineLevel="0" collapsed="false">
      <c r="A25" s="0" t="s">
        <v>171</v>
      </c>
      <c r="B25" s="0" t="s">
        <v>172</v>
      </c>
      <c r="C25" s="0" t="s">
        <v>173</v>
      </c>
      <c r="D25" s="0" t="s">
        <v>174</v>
      </c>
      <c r="E25" s="0" t="n">
        <v>30</v>
      </c>
      <c r="F25" s="5" t="n">
        <v>3.2</v>
      </c>
      <c r="G25" s="5" t="n">
        <v>9.9</v>
      </c>
      <c r="H25" s="6" t="n">
        <f aca="false">G25-F25</f>
        <v>6.7</v>
      </c>
      <c r="I25" s="7" t="n">
        <f aca="false">IFERROR((G25-F25)/G25,0)</f>
        <v>0.676767676767677</v>
      </c>
      <c r="J25" s="8" t="s">
        <v>105</v>
      </c>
      <c r="K25" s="8" t="s">
        <v>106</v>
      </c>
    </row>
    <row r="26" customFormat="false" ht="15" hidden="false" customHeight="false" outlineLevel="0" collapsed="false">
      <c r="A26" s="0" t="s">
        <v>175</v>
      </c>
      <c r="B26" s="0" t="s">
        <v>172</v>
      </c>
      <c r="C26" s="0" t="s">
        <v>176</v>
      </c>
      <c r="D26" s="0" t="s">
        <v>147</v>
      </c>
      <c r="E26" s="0" t="n">
        <v>30</v>
      </c>
      <c r="F26" s="5" t="n">
        <v>1.4</v>
      </c>
      <c r="G26" s="5" t="n">
        <v>4.9</v>
      </c>
      <c r="H26" s="6" t="n">
        <f aca="false">G26-F26</f>
        <v>3.5</v>
      </c>
      <c r="I26" s="7" t="n">
        <f aca="false">IFERROR((G26-F26)/G26,0)</f>
        <v>0.714285714285714</v>
      </c>
      <c r="J26" s="8" t="s">
        <v>105</v>
      </c>
      <c r="K26" s="8" t="s">
        <v>106</v>
      </c>
    </row>
    <row r="27" customFormat="false" ht="15" hidden="false" customHeight="false" outlineLevel="0" collapsed="false">
      <c r="A27" s="0" t="s">
        <v>177</v>
      </c>
      <c r="B27" s="0" t="s">
        <v>178</v>
      </c>
      <c r="C27" s="0" t="s">
        <v>179</v>
      </c>
      <c r="D27" s="0" t="s">
        <v>42</v>
      </c>
      <c r="E27" s="0" t="n">
        <v>30</v>
      </c>
      <c r="F27" s="5" t="n">
        <v>2.6</v>
      </c>
      <c r="G27" s="5" t="n">
        <v>7.9</v>
      </c>
      <c r="H27" s="6" t="n">
        <f aca="false">G27-F27</f>
        <v>5.3</v>
      </c>
      <c r="I27" s="7" t="n">
        <f aca="false">IFERROR((G27-F27)/G27,0)</f>
        <v>0.670886075949367</v>
      </c>
      <c r="J27" s="8" t="s">
        <v>105</v>
      </c>
      <c r="K27" s="8" t="s">
        <v>106</v>
      </c>
    </row>
    <row r="28" customFormat="false" ht="15" hidden="false" customHeight="false" outlineLevel="0" collapsed="false">
      <c r="A28" s="0" t="s">
        <v>180</v>
      </c>
      <c r="B28" s="0" t="s">
        <v>178</v>
      </c>
      <c r="C28" s="0" t="s">
        <v>181</v>
      </c>
      <c r="D28" s="0" t="s">
        <v>47</v>
      </c>
      <c r="E28" s="0" t="n">
        <v>30</v>
      </c>
      <c r="F28" s="5" t="n">
        <v>1.2</v>
      </c>
      <c r="G28" s="5" t="n">
        <v>4.9</v>
      </c>
      <c r="H28" s="6" t="n">
        <f aca="false">G28-F28</f>
        <v>3.7</v>
      </c>
      <c r="I28" s="7" t="n">
        <f aca="false">IFERROR((G28-F28)/G28,0)</f>
        <v>0.755102040816327</v>
      </c>
      <c r="J28" s="8" t="s">
        <v>105</v>
      </c>
      <c r="K28" s="8" t="s">
        <v>106</v>
      </c>
    </row>
    <row r="29" customFormat="false" ht="15" hidden="false" customHeight="false" outlineLevel="0" collapsed="false">
      <c r="A29" s="0" t="s">
        <v>182</v>
      </c>
      <c r="B29" s="0" t="s">
        <v>183</v>
      </c>
      <c r="C29" s="0" t="s">
        <v>184</v>
      </c>
      <c r="D29" s="0" t="s">
        <v>185</v>
      </c>
      <c r="E29" s="0" t="n">
        <v>60</v>
      </c>
      <c r="F29" s="5" t="n">
        <v>3.2</v>
      </c>
      <c r="G29" s="5" t="n">
        <v>9.9</v>
      </c>
      <c r="H29" s="6" t="n">
        <f aca="false">G29-F29</f>
        <v>6.7</v>
      </c>
      <c r="I29" s="7" t="n">
        <f aca="false">IFERROR((G29-F29)/G29,0)</f>
        <v>0.676767676767677</v>
      </c>
      <c r="J29" s="8" t="s">
        <v>105</v>
      </c>
      <c r="K29" s="8" t="s">
        <v>106</v>
      </c>
    </row>
    <row r="30" customFormat="false" ht="15" hidden="false" customHeight="false" outlineLevel="0" collapsed="false">
      <c r="A30" s="0" t="s">
        <v>186</v>
      </c>
      <c r="B30" s="0" t="s">
        <v>187</v>
      </c>
      <c r="C30" s="0" t="s">
        <v>188</v>
      </c>
      <c r="D30" s="0" t="s">
        <v>32</v>
      </c>
      <c r="E30" s="0" t="n">
        <v>60</v>
      </c>
      <c r="F30" s="5" t="n">
        <v>3.8</v>
      </c>
      <c r="G30" s="5" t="n">
        <v>11.9</v>
      </c>
      <c r="H30" s="6" t="n">
        <f aca="false">G30-F30</f>
        <v>8.1</v>
      </c>
      <c r="I30" s="7" t="n">
        <f aca="false">IFERROR((G30-F30)/G30,0)</f>
        <v>0.680672268907563</v>
      </c>
      <c r="J30" s="8" t="s">
        <v>105</v>
      </c>
      <c r="K30" s="8" t="s">
        <v>106</v>
      </c>
    </row>
    <row r="31" customFormat="false" ht="15" hidden="false" customHeight="false" outlineLevel="0" collapsed="false">
      <c r="A31" s="0" t="s">
        <v>189</v>
      </c>
      <c r="B31" s="0" t="s">
        <v>190</v>
      </c>
      <c r="C31" s="0" t="s">
        <v>191</v>
      </c>
      <c r="D31" s="0" t="s">
        <v>192</v>
      </c>
      <c r="E31" s="0" t="n">
        <v>30</v>
      </c>
      <c r="F31" s="5" t="n">
        <v>2.2</v>
      </c>
      <c r="G31" s="5" t="n">
        <v>6.9</v>
      </c>
      <c r="H31" s="6" t="n">
        <f aca="false">G31-F31</f>
        <v>4.7</v>
      </c>
      <c r="I31" s="7" t="n">
        <f aca="false">IFERROR((G31-F31)/G31,0)</f>
        <v>0.681159420289855</v>
      </c>
      <c r="J31" s="8" t="s">
        <v>105</v>
      </c>
      <c r="K31" s="8" t="s">
        <v>106</v>
      </c>
    </row>
    <row r="32" customFormat="false" ht="15" hidden="false" customHeight="false" outlineLevel="0" collapsed="false">
      <c r="A32" s="0" t="s">
        <v>193</v>
      </c>
      <c r="B32" s="0" t="s">
        <v>190</v>
      </c>
      <c r="C32" s="0" t="s">
        <v>194</v>
      </c>
      <c r="D32" s="0" t="s">
        <v>36</v>
      </c>
      <c r="E32" s="0" t="n">
        <v>30</v>
      </c>
      <c r="F32" s="5" t="n">
        <v>1.8</v>
      </c>
      <c r="G32" s="5" t="n">
        <v>5.9</v>
      </c>
      <c r="H32" s="6" t="n">
        <f aca="false">G32-F32</f>
        <v>4.1</v>
      </c>
      <c r="I32" s="7" t="n">
        <f aca="false">IFERROR((G32-F32)/G32,0)</f>
        <v>0.694915254237288</v>
      </c>
      <c r="J32" s="8" t="s">
        <v>105</v>
      </c>
      <c r="K32" s="8" t="s">
        <v>106</v>
      </c>
    </row>
    <row r="33" customFormat="false" ht="15" hidden="false" customHeight="false" outlineLevel="0" collapsed="false">
      <c r="A33" s="0" t="s">
        <v>195</v>
      </c>
      <c r="B33" s="0" t="s">
        <v>190</v>
      </c>
      <c r="C33" s="0" t="s">
        <v>196</v>
      </c>
      <c r="D33" s="0" t="s">
        <v>81</v>
      </c>
      <c r="E33" s="0" t="n">
        <v>30</v>
      </c>
      <c r="F33" s="5" t="n">
        <v>2</v>
      </c>
      <c r="G33" s="5" t="n">
        <v>6.5</v>
      </c>
      <c r="H33" s="6" t="n">
        <f aca="false">G33-F33</f>
        <v>4.5</v>
      </c>
      <c r="I33" s="7" t="n">
        <f aca="false">IFERROR((G33-F33)/G33,0)</f>
        <v>0.692307692307692</v>
      </c>
      <c r="J33" s="8" t="s">
        <v>105</v>
      </c>
      <c r="K33" s="8" t="s">
        <v>106</v>
      </c>
    </row>
    <row r="34" customFormat="false" ht="15" hidden="false" customHeight="false" outlineLevel="0" collapsed="false">
      <c r="A34" s="0" t="s">
        <v>197</v>
      </c>
      <c r="B34" s="0" t="s">
        <v>198</v>
      </c>
      <c r="C34" s="0" t="s">
        <v>199</v>
      </c>
      <c r="D34" s="0" t="s">
        <v>58</v>
      </c>
      <c r="E34" s="0" t="n">
        <v>60</v>
      </c>
      <c r="F34" s="5" t="n">
        <v>1.6</v>
      </c>
      <c r="G34" s="5" t="n">
        <v>5.5</v>
      </c>
      <c r="H34" s="6" t="n">
        <f aca="false">G34-F34</f>
        <v>3.9</v>
      </c>
      <c r="I34" s="7" t="n">
        <f aca="false">IFERROR((G34-F34)/G34,0)</f>
        <v>0.709090909090909</v>
      </c>
      <c r="J34" s="8" t="s">
        <v>105</v>
      </c>
      <c r="K34" s="8" t="s">
        <v>106</v>
      </c>
    </row>
    <row r="35" customFormat="false" ht="15" hidden="false" customHeight="false" outlineLevel="0" collapsed="false">
      <c r="A35" s="0" t="s">
        <v>200</v>
      </c>
      <c r="B35" s="0" t="s">
        <v>198</v>
      </c>
      <c r="C35" s="0" t="s">
        <v>201</v>
      </c>
      <c r="D35" s="0" t="s">
        <v>84</v>
      </c>
      <c r="E35" s="0" t="n">
        <v>30</v>
      </c>
      <c r="F35" s="5" t="n">
        <v>0.8</v>
      </c>
      <c r="G35" s="5" t="n">
        <v>3.5</v>
      </c>
      <c r="H35" s="6" t="n">
        <f aca="false">G35-F35</f>
        <v>2.7</v>
      </c>
      <c r="I35" s="7" t="n">
        <f aca="false">IFERROR((G35-F35)/G35,0)</f>
        <v>0.771428571428572</v>
      </c>
      <c r="J35" s="8" t="s">
        <v>105</v>
      </c>
      <c r="K35" s="8" t="s">
        <v>106</v>
      </c>
    </row>
    <row r="36" customFormat="false" ht="15" hidden="false" customHeight="false" outlineLevel="0" collapsed="false">
      <c r="A36" s="0" t="s">
        <v>202</v>
      </c>
      <c r="B36" s="0" t="s">
        <v>198</v>
      </c>
      <c r="C36" s="0" t="s">
        <v>203</v>
      </c>
      <c r="D36" s="0" t="s">
        <v>204</v>
      </c>
      <c r="E36" s="0" t="n">
        <v>30</v>
      </c>
      <c r="F36" s="5" t="n">
        <v>1.2</v>
      </c>
      <c r="G36" s="5" t="n">
        <v>4.9</v>
      </c>
      <c r="H36" s="6" t="n">
        <f aca="false">G36-F36</f>
        <v>3.7</v>
      </c>
      <c r="I36" s="7" t="n">
        <f aca="false">IFERROR((G36-F36)/G36,0)</f>
        <v>0.755102040816327</v>
      </c>
      <c r="J36" s="8" t="s">
        <v>105</v>
      </c>
      <c r="K36" s="8" t="s">
        <v>106</v>
      </c>
    </row>
    <row r="37" customFormat="false" ht="15" hidden="false" customHeight="false" outlineLevel="0" collapsed="false">
      <c r="A37" s="0" t="s">
        <v>205</v>
      </c>
      <c r="B37" s="0" t="s">
        <v>206</v>
      </c>
      <c r="C37" s="0" t="s">
        <v>207</v>
      </c>
      <c r="D37" s="0" t="s">
        <v>58</v>
      </c>
      <c r="E37" s="0" t="n">
        <v>30</v>
      </c>
      <c r="F37" s="5" t="n">
        <v>3.4</v>
      </c>
      <c r="G37" s="5" t="n">
        <v>9.9</v>
      </c>
      <c r="H37" s="6" t="n">
        <f aca="false">G37-F37</f>
        <v>6.5</v>
      </c>
      <c r="I37" s="7" t="n">
        <f aca="false">IFERROR((G37-F37)/G37,0)</f>
        <v>0.656565656565657</v>
      </c>
      <c r="J37" s="8" t="s">
        <v>105</v>
      </c>
      <c r="K37" s="8" t="s">
        <v>106</v>
      </c>
    </row>
    <row r="38" customFormat="false" ht="15" hidden="false" customHeight="false" outlineLevel="0" collapsed="false">
      <c r="A38" s="0" t="s">
        <v>208</v>
      </c>
      <c r="B38" s="0" t="s">
        <v>206</v>
      </c>
      <c r="C38" s="0" t="s">
        <v>209</v>
      </c>
      <c r="D38" s="0" t="s">
        <v>36</v>
      </c>
      <c r="E38" s="0" t="n">
        <v>30</v>
      </c>
      <c r="F38" s="5" t="n">
        <v>1.8</v>
      </c>
      <c r="G38" s="5" t="n">
        <v>5.9</v>
      </c>
      <c r="H38" s="6" t="n">
        <f aca="false">G38-F38</f>
        <v>4.1</v>
      </c>
      <c r="I38" s="7" t="n">
        <f aca="false">IFERROR((G38-F38)/G38,0)</f>
        <v>0.694915254237288</v>
      </c>
      <c r="J38" s="8" t="s">
        <v>105</v>
      </c>
      <c r="K38" s="8" t="s">
        <v>106</v>
      </c>
    </row>
    <row r="39" customFormat="false" ht="15" hidden="false" customHeight="false" outlineLevel="0" collapsed="false">
      <c r="A39" s="0" t="s">
        <v>210</v>
      </c>
      <c r="B39" s="0" t="s">
        <v>206</v>
      </c>
      <c r="C39" s="0" t="s">
        <v>57</v>
      </c>
      <c r="D39" s="0" t="s">
        <v>58</v>
      </c>
      <c r="E39" s="0" t="n">
        <v>30</v>
      </c>
      <c r="F39" s="5" t="n">
        <v>2.6</v>
      </c>
      <c r="G39" s="5" t="n">
        <v>7.9</v>
      </c>
      <c r="H39" s="6" t="n">
        <f aca="false">G39-F39</f>
        <v>5.3</v>
      </c>
      <c r="I39" s="7" t="n">
        <f aca="false">IFERROR((G39-F39)/G39,0)</f>
        <v>0.670886075949367</v>
      </c>
      <c r="J39" s="8" t="s">
        <v>105</v>
      </c>
      <c r="K39" s="8" t="s">
        <v>106</v>
      </c>
    </row>
    <row r="40" customFormat="false" ht="15" hidden="false" customHeight="false" outlineLevel="0" collapsed="false">
      <c r="A40" s="0" t="s">
        <v>211</v>
      </c>
      <c r="B40" s="0" t="s">
        <v>212</v>
      </c>
      <c r="C40" s="0" t="s">
        <v>213</v>
      </c>
      <c r="D40" s="0" t="s">
        <v>214</v>
      </c>
      <c r="E40" s="0" t="n">
        <v>30</v>
      </c>
      <c r="F40" s="5" t="n">
        <v>1.8</v>
      </c>
      <c r="G40" s="5" t="n">
        <v>5.9</v>
      </c>
      <c r="H40" s="6" t="n">
        <f aca="false">G40-F40</f>
        <v>4.1</v>
      </c>
      <c r="I40" s="7" t="n">
        <f aca="false">IFERROR((G40-F40)/G40,0)</f>
        <v>0.694915254237288</v>
      </c>
      <c r="J40" s="8" t="s">
        <v>105</v>
      </c>
      <c r="K40" s="8" t="s">
        <v>106</v>
      </c>
    </row>
    <row r="41" customFormat="false" ht="15" hidden="false" customHeight="false" outlineLevel="0" collapsed="false">
      <c r="A41" s="0" t="s">
        <v>215</v>
      </c>
      <c r="B41" s="0" t="s">
        <v>85</v>
      </c>
      <c r="C41" s="0" t="s">
        <v>83</v>
      </c>
      <c r="D41" s="0" t="s">
        <v>84</v>
      </c>
      <c r="E41" s="0" t="n">
        <v>30</v>
      </c>
      <c r="F41" s="5" t="n">
        <v>4.2</v>
      </c>
      <c r="G41" s="5" t="n">
        <v>12.9</v>
      </c>
      <c r="H41" s="6" t="n">
        <f aca="false">G41-F41</f>
        <v>8.7</v>
      </c>
      <c r="I41" s="7" t="n">
        <f aca="false">IFERROR((G41-F41)/G41,0)</f>
        <v>0.674418604651163</v>
      </c>
      <c r="J41" s="8" t="s">
        <v>105</v>
      </c>
      <c r="K41" s="8" t="s">
        <v>106</v>
      </c>
    </row>
    <row r="42" customFormat="false" ht="15" hidden="false" customHeight="false" outlineLevel="0" collapsed="false">
      <c r="A42" s="0" t="s">
        <v>216</v>
      </c>
      <c r="B42" s="0" t="s">
        <v>85</v>
      </c>
      <c r="C42" s="0" t="s">
        <v>38</v>
      </c>
      <c r="D42" s="0" t="s">
        <v>39</v>
      </c>
      <c r="E42" s="0" t="n">
        <v>30</v>
      </c>
      <c r="F42" s="5" t="n">
        <v>5.8</v>
      </c>
      <c r="G42" s="5" t="n">
        <v>16.9</v>
      </c>
      <c r="H42" s="6" t="n">
        <f aca="false">G42-F42</f>
        <v>11.1</v>
      </c>
      <c r="I42" s="7" t="n">
        <f aca="false">IFERROR((G42-F42)/G42,0)</f>
        <v>0.656804733727811</v>
      </c>
      <c r="J42" s="8" t="s">
        <v>105</v>
      </c>
      <c r="K42" s="8" t="s">
        <v>106</v>
      </c>
    </row>
    <row r="43" customFormat="false" ht="15" hidden="false" customHeight="false" outlineLevel="0" collapsed="false">
      <c r="A43" s="0" t="s">
        <v>217</v>
      </c>
      <c r="B43" s="0" t="s">
        <v>85</v>
      </c>
      <c r="C43" s="0" t="s">
        <v>218</v>
      </c>
      <c r="D43" s="0" t="s">
        <v>36</v>
      </c>
      <c r="E43" s="0" t="n">
        <v>30</v>
      </c>
      <c r="F43" s="5" t="n">
        <v>6.2</v>
      </c>
      <c r="G43" s="5" t="n">
        <v>18.9</v>
      </c>
      <c r="H43" s="6" t="n">
        <f aca="false">G43-F43</f>
        <v>12.7</v>
      </c>
      <c r="I43" s="7" t="n">
        <f aca="false">IFERROR((G43-F43)/G43,0)</f>
        <v>0.671957671957672</v>
      </c>
      <c r="J43" s="8" t="s">
        <v>105</v>
      </c>
      <c r="K43" s="8" t="s">
        <v>106</v>
      </c>
    </row>
    <row r="44" customFormat="false" ht="15" hidden="false" customHeight="false" outlineLevel="0" collapsed="false">
      <c r="A44" s="0" t="s">
        <v>219</v>
      </c>
      <c r="B44" s="0" t="s">
        <v>85</v>
      </c>
      <c r="C44" s="0" t="s">
        <v>71</v>
      </c>
      <c r="D44" s="0" t="s">
        <v>134</v>
      </c>
      <c r="E44" s="0" t="n">
        <v>30</v>
      </c>
      <c r="F44" s="5" t="n">
        <v>3.4</v>
      </c>
      <c r="G44" s="5" t="n">
        <v>9.9</v>
      </c>
      <c r="H44" s="6" t="n">
        <f aca="false">G44-F44</f>
        <v>6.5</v>
      </c>
      <c r="I44" s="7" t="n">
        <f aca="false">IFERROR((G44-F44)/G44,0)</f>
        <v>0.656565656565657</v>
      </c>
      <c r="J44" s="8" t="s">
        <v>105</v>
      </c>
      <c r="K44" s="8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4" t="s">
        <v>92</v>
      </c>
      <c r="B1" s="4" t="s">
        <v>220</v>
      </c>
      <c r="C1" s="4" t="s">
        <v>221</v>
      </c>
      <c r="D1" s="4" t="s">
        <v>222</v>
      </c>
      <c r="E1" s="4" t="s">
        <v>97</v>
      </c>
      <c r="F1" s="4" t="s">
        <v>98</v>
      </c>
      <c r="G1" s="4" t="s">
        <v>99</v>
      </c>
      <c r="H1" s="4" t="s">
        <v>100</v>
      </c>
      <c r="I1" s="4" t="s">
        <v>223</v>
      </c>
      <c r="J1" s="4" t="s">
        <v>102</v>
      </c>
    </row>
    <row r="2" customFormat="false" ht="15" hidden="false" customHeight="false" outlineLevel="0" collapsed="false">
      <c r="A2" s="0" t="s">
        <v>224</v>
      </c>
      <c r="B2" s="0" t="s">
        <v>225</v>
      </c>
      <c r="C2" s="0" t="n">
        <v>100</v>
      </c>
      <c r="D2" s="0" t="s">
        <v>44</v>
      </c>
      <c r="E2" s="5" t="n">
        <v>4.5</v>
      </c>
      <c r="F2" s="5" t="n">
        <v>16.9</v>
      </c>
      <c r="G2" s="6" t="n">
        <f aca="false">F2-E2</f>
        <v>12.4</v>
      </c>
      <c r="H2" s="7" t="n">
        <f aca="false">IFERROR((F2-E2)/F2,0)</f>
        <v>0.733727810650888</v>
      </c>
      <c r="I2" s="8" t="s">
        <v>226</v>
      </c>
      <c r="J2" s="8" t="s">
        <v>106</v>
      </c>
    </row>
    <row r="3" customFormat="false" ht="15" hidden="false" customHeight="false" outlineLevel="0" collapsed="false">
      <c r="A3" s="0" t="s">
        <v>227</v>
      </c>
      <c r="B3" s="0" t="s">
        <v>228</v>
      </c>
      <c r="C3" s="0" t="n">
        <v>100</v>
      </c>
      <c r="D3" s="0" t="s">
        <v>134</v>
      </c>
      <c r="E3" s="5" t="n">
        <v>3.8</v>
      </c>
      <c r="F3" s="5" t="n">
        <v>14.9</v>
      </c>
      <c r="G3" s="6" t="n">
        <f aca="false">F3-E3</f>
        <v>11.1</v>
      </c>
      <c r="H3" s="7" t="n">
        <f aca="false">IFERROR((F3-E3)/F3,0)</f>
        <v>0.74496644295302</v>
      </c>
      <c r="I3" s="8" t="s">
        <v>226</v>
      </c>
      <c r="J3" s="8" t="s">
        <v>106</v>
      </c>
    </row>
    <row r="4" customFormat="false" ht="15" hidden="false" customHeight="false" outlineLevel="0" collapsed="false">
      <c r="A4" s="0" t="s">
        <v>229</v>
      </c>
      <c r="B4" s="0" t="s">
        <v>230</v>
      </c>
      <c r="C4" s="0" t="n">
        <v>100</v>
      </c>
      <c r="D4" s="0" t="s">
        <v>36</v>
      </c>
      <c r="E4" s="5" t="n">
        <v>6.5</v>
      </c>
      <c r="F4" s="5" t="n">
        <v>22.9</v>
      </c>
      <c r="G4" s="6" t="n">
        <f aca="false">F4-E4</f>
        <v>16.4</v>
      </c>
      <c r="H4" s="7" t="n">
        <f aca="false">IFERROR((F4-E4)/F4,0)</f>
        <v>0.716157205240175</v>
      </c>
      <c r="I4" s="8" t="s">
        <v>226</v>
      </c>
      <c r="J4" s="8" t="s">
        <v>106</v>
      </c>
    </row>
    <row r="5" customFormat="false" ht="15" hidden="false" customHeight="false" outlineLevel="0" collapsed="false">
      <c r="A5" s="0" t="s">
        <v>231</v>
      </c>
      <c r="B5" s="0" t="s">
        <v>232</v>
      </c>
      <c r="C5" s="0" t="n">
        <v>100</v>
      </c>
      <c r="D5" s="0" t="s">
        <v>42</v>
      </c>
      <c r="E5" s="5" t="n">
        <v>8</v>
      </c>
      <c r="F5" s="5" t="n">
        <v>26.9</v>
      </c>
      <c r="G5" s="6" t="n">
        <f aca="false">F5-E5</f>
        <v>18.9</v>
      </c>
      <c r="H5" s="7" t="n">
        <f aca="false">IFERROR((F5-E5)/F5,0)</f>
        <v>0.702602230483271</v>
      </c>
      <c r="I5" s="8" t="s">
        <v>226</v>
      </c>
      <c r="J5" s="8" t="s">
        <v>106</v>
      </c>
    </row>
    <row r="6" customFormat="false" ht="15" hidden="false" customHeight="false" outlineLevel="0" collapsed="false">
      <c r="A6" s="0" t="s">
        <v>233</v>
      </c>
      <c r="B6" s="0" t="s">
        <v>234</v>
      </c>
      <c r="C6" s="0" t="n">
        <v>120</v>
      </c>
      <c r="D6" s="0" t="s">
        <v>235</v>
      </c>
      <c r="E6" s="5" t="n">
        <v>7.2</v>
      </c>
      <c r="F6" s="5" t="n">
        <v>24.9</v>
      </c>
      <c r="G6" s="6" t="n">
        <f aca="false">F6-E6</f>
        <v>17.7</v>
      </c>
      <c r="H6" s="7" t="n">
        <f aca="false">IFERROR((F6-E6)/F6,0)</f>
        <v>0.710843373493976</v>
      </c>
      <c r="I6" s="8" t="s">
        <v>226</v>
      </c>
      <c r="J6" s="8" t="s">
        <v>106</v>
      </c>
    </row>
    <row r="7" customFormat="false" ht="15" hidden="false" customHeight="false" outlineLevel="0" collapsed="false">
      <c r="A7" s="0" t="s">
        <v>236</v>
      </c>
      <c r="B7" s="0" t="s">
        <v>237</v>
      </c>
      <c r="C7" s="0" t="n">
        <v>100</v>
      </c>
      <c r="D7" s="0" t="s">
        <v>204</v>
      </c>
      <c r="E7" s="5" t="n">
        <v>3.8</v>
      </c>
      <c r="F7" s="5" t="n">
        <v>14.9</v>
      </c>
      <c r="G7" s="6" t="n">
        <f aca="false">F7-E7</f>
        <v>11.1</v>
      </c>
      <c r="H7" s="7" t="n">
        <f aca="false">IFERROR((F7-E7)/F7,0)</f>
        <v>0.74496644295302</v>
      </c>
      <c r="I7" s="8" t="s">
        <v>226</v>
      </c>
      <c r="J7" s="8" t="s">
        <v>106</v>
      </c>
    </row>
    <row r="8" customFormat="false" ht="15" hidden="false" customHeight="false" outlineLevel="0" collapsed="false">
      <c r="A8" s="0" t="s">
        <v>238</v>
      </c>
      <c r="B8" s="0" t="s">
        <v>239</v>
      </c>
      <c r="C8" s="0" t="n">
        <v>200</v>
      </c>
      <c r="D8" s="0" t="s">
        <v>240</v>
      </c>
      <c r="E8" s="5" t="n">
        <v>12</v>
      </c>
      <c r="F8" s="5" t="n">
        <v>34.9</v>
      </c>
      <c r="G8" s="6" t="n">
        <f aca="false">F8-E8</f>
        <v>22.9</v>
      </c>
      <c r="H8" s="7" t="n">
        <f aca="false">IFERROR((F8-E8)/F8,0)</f>
        <v>0.656160458452722</v>
      </c>
      <c r="I8" s="8" t="s">
        <v>226</v>
      </c>
      <c r="J8" s="8" t="s">
        <v>106</v>
      </c>
    </row>
    <row r="9" customFormat="false" ht="15" hidden="false" customHeight="false" outlineLevel="0" collapsed="false">
      <c r="A9" s="0" t="s">
        <v>241</v>
      </c>
      <c r="B9" s="0" t="s">
        <v>242</v>
      </c>
      <c r="C9" s="0" t="n">
        <v>60</v>
      </c>
      <c r="D9" s="0" t="s">
        <v>243</v>
      </c>
      <c r="E9" s="5" t="n">
        <v>8.5</v>
      </c>
      <c r="F9" s="5" t="n">
        <v>27.9</v>
      </c>
      <c r="G9" s="6" t="n">
        <f aca="false">F9-E9</f>
        <v>19.4</v>
      </c>
      <c r="H9" s="7" t="n">
        <f aca="false">IFERROR((F9-E9)/F9,0)</f>
        <v>0.695340501792115</v>
      </c>
      <c r="I9" s="8" t="s">
        <v>226</v>
      </c>
      <c r="J9" s="8" t="s">
        <v>106</v>
      </c>
    </row>
    <row r="10" customFormat="false" ht="15" hidden="false" customHeight="false" outlineLevel="0" collapsed="false">
      <c r="A10" s="0" t="s">
        <v>244</v>
      </c>
      <c r="B10" s="0" t="s">
        <v>245</v>
      </c>
      <c r="C10" s="0" t="n">
        <v>90</v>
      </c>
      <c r="D10" s="0" t="s">
        <v>58</v>
      </c>
      <c r="E10" s="5" t="n">
        <v>7.2</v>
      </c>
      <c r="F10" s="5" t="n">
        <v>24.9</v>
      </c>
      <c r="G10" s="6" t="n">
        <f aca="false">F10-E10</f>
        <v>17.7</v>
      </c>
      <c r="H10" s="7" t="n">
        <f aca="false">IFERROR((F10-E10)/F10,0)</f>
        <v>0.710843373493976</v>
      </c>
      <c r="I10" s="8" t="s">
        <v>226</v>
      </c>
      <c r="J10" s="8" t="s">
        <v>106</v>
      </c>
    </row>
    <row r="11" customFormat="false" ht="15" hidden="false" customHeight="false" outlineLevel="0" collapsed="false">
      <c r="A11" s="0" t="s">
        <v>246</v>
      </c>
      <c r="B11" s="0" t="s">
        <v>247</v>
      </c>
      <c r="C11" s="0" t="n">
        <v>100</v>
      </c>
      <c r="D11" s="0" t="s">
        <v>47</v>
      </c>
      <c r="E11" s="5" t="n">
        <v>4.2</v>
      </c>
      <c r="F11" s="5" t="n">
        <v>15.9</v>
      </c>
      <c r="G11" s="6" t="n">
        <f aca="false">F11-E11</f>
        <v>11.7</v>
      </c>
      <c r="H11" s="7" t="n">
        <f aca="false">IFERROR((F11-E11)/F11,0)</f>
        <v>0.735849056603774</v>
      </c>
      <c r="I11" s="8" t="s">
        <v>226</v>
      </c>
      <c r="J11" s="8" t="s">
        <v>106</v>
      </c>
    </row>
    <row r="12" customFormat="false" ht="15" hidden="false" customHeight="false" outlineLevel="0" collapsed="false">
      <c r="A12" s="0" t="s">
        <v>248</v>
      </c>
      <c r="B12" s="0" t="s">
        <v>249</v>
      </c>
      <c r="C12" s="0" t="n">
        <v>100</v>
      </c>
      <c r="D12" s="0" t="s">
        <v>157</v>
      </c>
      <c r="E12" s="5" t="n">
        <v>2.5</v>
      </c>
      <c r="F12" s="5" t="n">
        <v>9.9</v>
      </c>
      <c r="G12" s="6" t="n">
        <f aca="false">F12-E12</f>
        <v>7.4</v>
      </c>
      <c r="H12" s="7" t="n">
        <f aca="false">IFERROR((F12-E12)/F12,0)</f>
        <v>0.747474747474748</v>
      </c>
      <c r="I12" s="8" t="s">
        <v>226</v>
      </c>
      <c r="J12" s="8" t="s">
        <v>106</v>
      </c>
    </row>
    <row r="13" customFormat="false" ht="15" hidden="false" customHeight="false" outlineLevel="0" collapsed="false">
      <c r="A13" s="0" t="s">
        <v>250</v>
      </c>
      <c r="B13" s="0" t="s">
        <v>251</v>
      </c>
      <c r="C13" s="0" t="n">
        <v>120</v>
      </c>
      <c r="D13" s="0" t="s">
        <v>235</v>
      </c>
      <c r="E13" s="5" t="n">
        <v>5.5</v>
      </c>
      <c r="F13" s="5" t="n">
        <v>19.9</v>
      </c>
      <c r="G13" s="6" t="n">
        <f aca="false">F13-E13</f>
        <v>14.4</v>
      </c>
      <c r="H13" s="7" t="n">
        <f aca="false">IFERROR((F13-E13)/F13,0)</f>
        <v>0.723618090452261</v>
      </c>
      <c r="I13" s="8" t="s">
        <v>226</v>
      </c>
      <c r="J13" s="8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9" t="s">
        <v>252</v>
      </c>
      <c r="B1" s="9" t="s">
        <v>253</v>
      </c>
      <c r="C1" s="9" t="s">
        <v>254</v>
      </c>
    </row>
    <row r="2" customFormat="false" ht="15" hidden="false" customHeight="false" outlineLevel="0" collapsed="false">
      <c r="A2" s="0" t="s">
        <v>255</v>
      </c>
      <c r="B2" s="5" t="n">
        <v>24</v>
      </c>
      <c r="C2" s="8" t="s">
        <v>256</v>
      </c>
    </row>
    <row r="3" customFormat="false" ht="15" hidden="false" customHeight="false" outlineLevel="0" collapsed="false">
      <c r="A3" s="0" t="s">
        <v>257</v>
      </c>
      <c r="B3" s="5" t="n">
        <v>3.5</v>
      </c>
      <c r="C3" s="8" t="s">
        <v>258</v>
      </c>
    </row>
    <row r="4" customFormat="false" ht="15" hidden="false" customHeight="false" outlineLevel="0" collapsed="false">
      <c r="A4" s="0" t="s">
        <v>259</v>
      </c>
      <c r="B4" s="5" t="n">
        <v>4.5</v>
      </c>
      <c r="C4" s="8" t="s">
        <v>260</v>
      </c>
    </row>
    <row r="5" customFormat="false" ht="15" hidden="false" customHeight="false" outlineLevel="0" collapsed="false">
      <c r="A5" s="0" t="s">
        <v>261</v>
      </c>
      <c r="B5" s="5" t="n">
        <v>2</v>
      </c>
    </row>
    <row r="6" customFormat="false" ht="15" hidden="false" customHeight="false" outlineLevel="0" collapsed="false">
      <c r="A6" s="0" t="s">
        <v>262</v>
      </c>
      <c r="B6" s="10" t="n">
        <f aca="false">SUM(B2:B5)</f>
        <v>34</v>
      </c>
      <c r="C6" s="8" t="s">
        <v>263</v>
      </c>
    </row>
    <row r="8" customFormat="false" ht="15" hidden="false" customHeight="false" outlineLevel="0" collapsed="false">
      <c r="A8" s="0" t="s">
        <v>264</v>
      </c>
      <c r="B8" s="5" t="n">
        <v>89</v>
      </c>
      <c r="C8" s="8" t="s">
        <v>265</v>
      </c>
    </row>
    <row r="9" customFormat="false" ht="15" hidden="false" customHeight="false" outlineLevel="0" collapsed="false">
      <c r="A9" s="0" t="s">
        <v>266</v>
      </c>
      <c r="B9" s="10" t="n">
        <f aca="false">B8*0.9</f>
        <v>80.1</v>
      </c>
      <c r="C9" s="8" t="s">
        <v>267</v>
      </c>
    </row>
    <row r="10" customFormat="false" ht="15" hidden="false" customHeight="false" outlineLevel="0" collapsed="false">
      <c r="A10" s="0" t="s">
        <v>268</v>
      </c>
      <c r="B10" s="6" t="n">
        <f aca="false">B8-B6</f>
        <v>55</v>
      </c>
      <c r="C10" s="8" t="s">
        <v>269</v>
      </c>
    </row>
    <row r="11" customFormat="false" ht="15" hidden="false" customHeight="false" outlineLevel="0" collapsed="false">
      <c r="A11" s="0" t="s">
        <v>270</v>
      </c>
      <c r="B11" s="6" t="n">
        <f aca="false">B9-B6</f>
        <v>46.1</v>
      </c>
      <c r="C11" s="8" t="s">
        <v>269</v>
      </c>
    </row>
    <row r="12" customFormat="false" ht="15" hidden="false" customHeight="false" outlineLevel="0" collapsed="false">
      <c r="A12" s="0" t="s">
        <v>271</v>
      </c>
      <c r="B12" s="7" t="n">
        <f aca="false">IFERROR((B8-B6)/B8,0)</f>
        <v>0.617977528089888</v>
      </c>
    </row>
    <row r="13" customFormat="false" ht="15" hidden="false" customHeight="false" outlineLevel="0" collapsed="false">
      <c r="A13" s="0" t="s">
        <v>272</v>
      </c>
      <c r="B13" s="7" t="n">
        <f aca="false">IFERROR((B9-B6)/B9,0)</f>
        <v>0.575530586766542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1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3" t="s">
        <v>273</v>
      </c>
    </row>
    <row r="3" customFormat="false" ht="15" hidden="false" customHeight="false" outlineLevel="0" collapsed="false">
      <c r="A3" s="9" t="s">
        <v>252</v>
      </c>
      <c r="B3" s="9" t="s">
        <v>92</v>
      </c>
      <c r="C3" s="9" t="s">
        <v>274</v>
      </c>
      <c r="D3" s="9" t="s">
        <v>275</v>
      </c>
      <c r="E3" s="9" t="s">
        <v>276</v>
      </c>
    </row>
    <row r="4" customFormat="false" ht="15" hidden="false" customHeight="false" outlineLevel="0" collapsed="false">
      <c r="A4" s="0" t="s">
        <v>277</v>
      </c>
      <c r="B4" s="0" t="s">
        <v>278</v>
      </c>
      <c r="C4" s="5" t="n">
        <v>80.1</v>
      </c>
      <c r="D4" s="0" t="n">
        <v>1</v>
      </c>
      <c r="E4" s="6" t="n">
        <f aca="false">C4*D4</f>
        <v>80.1</v>
      </c>
    </row>
    <row r="5" customFormat="false" ht="15" hidden="false" customHeight="false" outlineLevel="0" collapsed="false">
      <c r="A5" s="0" t="s">
        <v>279</v>
      </c>
      <c r="B5" s="0" t="s">
        <v>103</v>
      </c>
      <c r="C5" s="5" t="n">
        <v>5.9</v>
      </c>
      <c r="D5" s="0" t="n">
        <v>1</v>
      </c>
      <c r="E5" s="6" t="n">
        <f aca="false">C5*D5</f>
        <v>5.9</v>
      </c>
    </row>
    <row r="6" customFormat="false" ht="15" hidden="false" customHeight="false" outlineLevel="0" collapsed="false">
      <c r="A6" s="0" t="s">
        <v>280</v>
      </c>
      <c r="B6" s="0" t="s">
        <v>107</v>
      </c>
      <c r="C6" s="5" t="n">
        <v>3.9</v>
      </c>
      <c r="D6" s="0" t="n">
        <v>1</v>
      </c>
      <c r="E6" s="6" t="n">
        <f aca="false">C6*D6</f>
        <v>3.9</v>
      </c>
    </row>
    <row r="7" customFormat="false" ht="15" hidden="false" customHeight="false" outlineLevel="0" collapsed="false">
      <c r="A7" s="0" t="s">
        <v>281</v>
      </c>
      <c r="B7" s="0" t="s">
        <v>124</v>
      </c>
      <c r="C7" s="5" t="n">
        <v>6.9</v>
      </c>
      <c r="D7" s="0" t="n">
        <v>1</v>
      </c>
      <c r="E7" s="6" t="n">
        <f aca="false">C7*D7</f>
        <v>6.9</v>
      </c>
    </row>
    <row r="8" customFormat="false" ht="15" hidden="false" customHeight="false" outlineLevel="0" collapsed="false">
      <c r="A8" s="0" t="s">
        <v>282</v>
      </c>
      <c r="B8" s="0" t="s">
        <v>126</v>
      </c>
      <c r="C8" s="5" t="n">
        <v>5.9</v>
      </c>
      <c r="D8" s="0" t="n">
        <v>1</v>
      </c>
      <c r="E8" s="6" t="n">
        <f aca="false">C8*D8</f>
        <v>5.9</v>
      </c>
    </row>
    <row r="9" customFormat="false" ht="15" hidden="false" customHeight="false" outlineLevel="0" collapsed="false">
      <c r="A9" s="0" t="s">
        <v>283</v>
      </c>
      <c r="B9" s="0" t="s">
        <v>161</v>
      </c>
      <c r="C9" s="5" t="n">
        <v>2.9</v>
      </c>
      <c r="D9" s="0" t="n">
        <v>1</v>
      </c>
      <c r="E9" s="6" t="n">
        <f aca="false">C9*D9</f>
        <v>2.9</v>
      </c>
    </row>
    <row r="10" customFormat="false" ht="15" hidden="false" customHeight="false" outlineLevel="0" collapsed="false">
      <c r="A10" s="0" t="s">
        <v>284</v>
      </c>
      <c r="B10" s="0" t="s">
        <v>154</v>
      </c>
      <c r="C10" s="5" t="n">
        <v>3.5</v>
      </c>
      <c r="D10" s="0" t="n">
        <v>1</v>
      </c>
      <c r="E10" s="6" t="n">
        <f aca="false">C10*D10</f>
        <v>3.5</v>
      </c>
    </row>
    <row r="11" customFormat="false" ht="15" hidden="false" customHeight="false" outlineLevel="0" collapsed="false">
      <c r="A11" s="0" t="s">
        <v>285</v>
      </c>
      <c r="B11" s="0" t="s">
        <v>151</v>
      </c>
      <c r="C11" s="5" t="n">
        <v>4.9</v>
      </c>
      <c r="D11" s="0" t="n">
        <v>1</v>
      </c>
      <c r="E11" s="6" t="n">
        <f aca="false">C11*D11</f>
        <v>4.9</v>
      </c>
    </row>
    <row r="12" customFormat="false" ht="15" hidden="false" customHeight="false" outlineLevel="0" collapsed="false">
      <c r="D12" s="11" t="s">
        <v>286</v>
      </c>
      <c r="E12" s="12" t="n">
        <f aca="false">SUM(E4:E11)</f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2026-04-21T10:20:36Z</dcterms:created>
  <dc:creator>openpyxl</dc:creator>
  <dc:description/>
  <dc:language>en-US</dc:language>
  <cp:lastModifiedBy/>
  <dcterms:modified xsi:type="dcterms:W3CDTF">2026-04-21T10:20:36Z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